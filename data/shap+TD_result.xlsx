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AAApaper\online_review\复现\data\"/>
    </mc:Choice>
  </mc:AlternateContent>
  <xr:revisionPtr revIDLastSave="0" documentId="13_ncr:1_{098DA842-9826-4165-B268-0C03E3C4E3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neg_ratio" sheetId="22" r:id="rId1"/>
    <sheet name="RPN-shap" sheetId="21" r:id="rId2"/>
    <sheet name="IPEA-modified" sheetId="20" r:id="rId3"/>
    <sheet name="difficulty" sheetId="6" r:id="rId4"/>
  </sheets>
  <definedNames>
    <definedName name="_xlnm._FilterDatabase" localSheetId="3" hidden="1">difficulty!$A$1:$E$732</definedName>
    <definedName name="_xlnm._FilterDatabase" localSheetId="2" hidden="1">'IPEA-modified'!$A$1:$BT$119</definedName>
    <definedName name="_xlnm._FilterDatabase" localSheetId="1" hidden="1">'RPN-shap'!$A$1:$K$125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2" l="1"/>
  <c r="C21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AA21" i="22"/>
  <c r="AB21" i="22"/>
  <c r="AC21" i="22"/>
  <c r="AD21" i="22"/>
  <c r="AE21" i="22"/>
  <c r="AF21" i="22"/>
  <c r="AG21" i="22"/>
  <c r="AH21" i="22"/>
  <c r="AI21" i="22"/>
  <c r="AJ21" i="22"/>
  <c r="AK21" i="22"/>
  <c r="AL21" i="22"/>
  <c r="AM21" i="22"/>
  <c r="AN21" i="22"/>
  <c r="AO21" i="22"/>
  <c r="AP21" i="22"/>
  <c r="AQ21" i="22"/>
  <c r="AR21" i="22"/>
  <c r="AS21" i="22"/>
  <c r="AT21" i="22"/>
  <c r="AU21" i="22"/>
  <c r="AV21" i="22"/>
  <c r="AW21" i="22"/>
  <c r="AX21" i="22"/>
  <c r="AY21" i="22"/>
  <c r="AZ21" i="22"/>
  <c r="BA21" i="22"/>
  <c r="BB21" i="22"/>
  <c r="BC21" i="22"/>
  <c r="BD21" i="22"/>
  <c r="BE21" i="22"/>
  <c r="BF21" i="22"/>
  <c r="BG21" i="22"/>
  <c r="BH21" i="22"/>
  <c r="BI21" i="22"/>
  <c r="BJ21" i="22"/>
  <c r="BK21" i="22"/>
  <c r="BL21" i="22"/>
  <c r="BM21" i="22"/>
  <c r="BN21" i="22"/>
  <c r="BO21" i="22"/>
  <c r="BP21" i="22"/>
  <c r="BQ21" i="22"/>
  <c r="BR21" i="22"/>
  <c r="BS21" i="22"/>
  <c r="BT21" i="22"/>
  <c r="BU21" i="22"/>
  <c r="BV21" i="22"/>
  <c r="BW21" i="22"/>
  <c r="BX21" i="22"/>
  <c r="BY21" i="22"/>
  <c r="BZ21" i="22"/>
  <c r="CA21" i="22"/>
  <c r="CB21" i="22"/>
  <c r="CC21" i="22"/>
  <c r="CD21" i="22"/>
  <c r="CE21" i="22"/>
  <c r="CF21" i="22"/>
  <c r="CG21" i="22"/>
  <c r="CH21" i="22"/>
  <c r="CI21" i="22"/>
  <c r="CJ21" i="22"/>
  <c r="CK21" i="22"/>
  <c r="CL21" i="22"/>
  <c r="CM21" i="22"/>
  <c r="CN21" i="22"/>
  <c r="CO21" i="22"/>
  <c r="CP21" i="22"/>
  <c r="CQ21" i="22"/>
  <c r="CR21" i="22"/>
  <c r="CS21" i="22"/>
  <c r="CT21" i="22"/>
  <c r="CU21" i="22"/>
  <c r="CV21" i="22"/>
  <c r="CW21" i="22"/>
  <c r="CX21" i="22"/>
  <c r="CY21" i="22"/>
  <c r="CZ21" i="22"/>
  <c r="DA21" i="22"/>
  <c r="DB21" i="22"/>
  <c r="DC21" i="22"/>
  <c r="DD21" i="22"/>
  <c r="DE21" i="22"/>
  <c r="DF21" i="22"/>
  <c r="DG21" i="22"/>
  <c r="DH21" i="22"/>
  <c r="DI21" i="22"/>
  <c r="DJ21" i="22"/>
  <c r="DK21" i="22"/>
  <c r="DL21" i="22"/>
  <c r="DM21" i="22"/>
  <c r="DN21" i="22"/>
  <c r="DO21" i="22"/>
  <c r="DP21" i="22"/>
  <c r="DQ21" i="22"/>
  <c r="DR21" i="22"/>
  <c r="DS21" i="22"/>
  <c r="B22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AA22" i="22"/>
  <c r="AB22" i="22"/>
  <c r="AC22" i="22"/>
  <c r="AD22" i="22"/>
  <c r="AE22" i="22"/>
  <c r="AF22" i="22"/>
  <c r="AG22" i="22"/>
  <c r="AH22" i="22"/>
  <c r="AI22" i="22"/>
  <c r="AJ22" i="22"/>
  <c r="AK22" i="22"/>
  <c r="AL22" i="22"/>
  <c r="AM22" i="22"/>
  <c r="AN22" i="22"/>
  <c r="AO22" i="22"/>
  <c r="AP22" i="22"/>
  <c r="AQ22" i="22"/>
  <c r="AR22" i="22"/>
  <c r="AS22" i="22"/>
  <c r="AT22" i="22"/>
  <c r="AU22" i="22"/>
  <c r="AV22" i="22"/>
  <c r="AW22" i="22"/>
  <c r="AX22" i="22"/>
  <c r="AY22" i="22"/>
  <c r="AZ22" i="22"/>
  <c r="BA22" i="22"/>
  <c r="BB22" i="22"/>
  <c r="BC22" i="22"/>
  <c r="BD22" i="22"/>
  <c r="BE22" i="22"/>
  <c r="BF22" i="22"/>
  <c r="BG22" i="22"/>
  <c r="BH22" i="22"/>
  <c r="BI22" i="22"/>
  <c r="BJ22" i="22"/>
  <c r="BK22" i="22"/>
  <c r="BL22" i="22"/>
  <c r="BM22" i="22"/>
  <c r="BN22" i="22"/>
  <c r="BO22" i="22"/>
  <c r="BP22" i="22"/>
  <c r="BQ22" i="22"/>
  <c r="BR22" i="22"/>
  <c r="BS22" i="22"/>
  <c r="BT22" i="22"/>
  <c r="BU22" i="22"/>
  <c r="BV22" i="22"/>
  <c r="BW22" i="22"/>
  <c r="BX22" i="22"/>
  <c r="BY22" i="22"/>
  <c r="BZ22" i="22"/>
  <c r="CA22" i="22"/>
  <c r="CB22" i="22"/>
  <c r="CC22" i="22"/>
  <c r="CD22" i="22"/>
  <c r="CE22" i="22"/>
  <c r="CF22" i="22"/>
  <c r="CG22" i="22"/>
  <c r="CH22" i="22"/>
  <c r="CI22" i="22"/>
  <c r="CJ22" i="22"/>
  <c r="CK22" i="22"/>
  <c r="CL22" i="22"/>
  <c r="CM22" i="22"/>
  <c r="CN22" i="22"/>
  <c r="CO22" i="22"/>
  <c r="CP22" i="22"/>
  <c r="CQ22" i="22"/>
  <c r="CR22" i="22"/>
  <c r="CS22" i="22"/>
  <c r="CT22" i="22"/>
  <c r="CU22" i="22"/>
  <c r="CV22" i="22"/>
  <c r="CW22" i="22"/>
  <c r="CX22" i="22"/>
  <c r="CY22" i="22"/>
  <c r="CZ22" i="22"/>
  <c r="DA22" i="22"/>
  <c r="DB22" i="22"/>
  <c r="DC22" i="22"/>
  <c r="DD22" i="22"/>
  <c r="DE22" i="22"/>
  <c r="DF22" i="22"/>
  <c r="DG22" i="22"/>
  <c r="DH22" i="22"/>
  <c r="DI22" i="22"/>
  <c r="DJ22" i="22"/>
  <c r="DK22" i="22"/>
  <c r="DL22" i="22"/>
  <c r="DM22" i="22"/>
  <c r="DN22" i="22"/>
  <c r="DO22" i="22"/>
  <c r="DP22" i="22"/>
  <c r="DQ22" i="22"/>
  <c r="DR22" i="22"/>
  <c r="DS22" i="22"/>
  <c r="B23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Z23" i="22"/>
  <c r="AA23" i="22"/>
  <c r="AB23" i="22"/>
  <c r="AC23" i="22"/>
  <c r="AD23" i="22"/>
  <c r="AE23" i="22"/>
  <c r="AF23" i="22"/>
  <c r="AG23" i="22"/>
  <c r="AH23" i="22"/>
  <c r="AI23" i="22"/>
  <c r="AJ23" i="22"/>
  <c r="AK23" i="22"/>
  <c r="AL23" i="22"/>
  <c r="AM23" i="22"/>
  <c r="AN23" i="22"/>
  <c r="AO23" i="22"/>
  <c r="AP23" i="22"/>
  <c r="AQ23" i="22"/>
  <c r="AR23" i="22"/>
  <c r="AS23" i="22"/>
  <c r="AT23" i="22"/>
  <c r="AU23" i="22"/>
  <c r="AV23" i="22"/>
  <c r="AW23" i="22"/>
  <c r="AX23" i="22"/>
  <c r="AY23" i="22"/>
  <c r="AZ23" i="22"/>
  <c r="BA23" i="22"/>
  <c r="BB23" i="22"/>
  <c r="BC23" i="22"/>
  <c r="BD23" i="22"/>
  <c r="BE23" i="22"/>
  <c r="BF23" i="22"/>
  <c r="BG23" i="22"/>
  <c r="BH23" i="22"/>
  <c r="BI23" i="22"/>
  <c r="BJ23" i="22"/>
  <c r="BK23" i="22"/>
  <c r="BL23" i="22"/>
  <c r="BM23" i="22"/>
  <c r="BN23" i="22"/>
  <c r="BO23" i="22"/>
  <c r="BP23" i="22"/>
  <c r="BQ23" i="22"/>
  <c r="BR23" i="22"/>
  <c r="BS23" i="22"/>
  <c r="BT23" i="22"/>
  <c r="BU23" i="22"/>
  <c r="BV23" i="22"/>
  <c r="BW23" i="22"/>
  <c r="BX23" i="22"/>
  <c r="BY23" i="22"/>
  <c r="BZ23" i="22"/>
  <c r="CA23" i="22"/>
  <c r="CB23" i="22"/>
  <c r="CC23" i="22"/>
  <c r="CD23" i="22"/>
  <c r="CE23" i="22"/>
  <c r="CF23" i="22"/>
  <c r="CG23" i="22"/>
  <c r="CH23" i="22"/>
  <c r="CI23" i="22"/>
  <c r="CJ23" i="22"/>
  <c r="CK23" i="22"/>
  <c r="CL23" i="22"/>
  <c r="CM23" i="22"/>
  <c r="CN23" i="22"/>
  <c r="CO23" i="22"/>
  <c r="CP23" i="22"/>
  <c r="CQ23" i="22"/>
  <c r="CR23" i="22"/>
  <c r="CS23" i="22"/>
  <c r="CT23" i="22"/>
  <c r="CU23" i="22"/>
  <c r="CV23" i="22"/>
  <c r="CW23" i="22"/>
  <c r="CX23" i="22"/>
  <c r="CY23" i="22"/>
  <c r="CZ23" i="22"/>
  <c r="DA23" i="22"/>
  <c r="DB23" i="22"/>
  <c r="DC23" i="22"/>
  <c r="DD23" i="22"/>
  <c r="DE23" i="22"/>
  <c r="DF23" i="22"/>
  <c r="DG23" i="22"/>
  <c r="DH23" i="22"/>
  <c r="DI23" i="22"/>
  <c r="DJ23" i="22"/>
  <c r="DK23" i="22"/>
  <c r="DL23" i="22"/>
  <c r="DM23" i="22"/>
  <c r="DN23" i="22"/>
  <c r="DO23" i="22"/>
  <c r="DP23" i="22"/>
  <c r="DQ23" i="22"/>
  <c r="DR23" i="22"/>
  <c r="DS23" i="22"/>
  <c r="B24" i="22"/>
  <c r="C24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S24" i="22"/>
  <c r="T24" i="22"/>
  <c r="U24" i="22"/>
  <c r="V24" i="22"/>
  <c r="W24" i="22"/>
  <c r="X24" i="22"/>
  <c r="Y24" i="22"/>
  <c r="Z24" i="22"/>
  <c r="AA24" i="22"/>
  <c r="AB24" i="22"/>
  <c r="AC24" i="22"/>
  <c r="AD24" i="22"/>
  <c r="AE24" i="22"/>
  <c r="AF24" i="22"/>
  <c r="AG24" i="22"/>
  <c r="AH24" i="22"/>
  <c r="AI24" i="22"/>
  <c r="AJ24" i="22"/>
  <c r="AK24" i="22"/>
  <c r="AL24" i="22"/>
  <c r="AM24" i="22"/>
  <c r="AN24" i="22"/>
  <c r="AO24" i="22"/>
  <c r="AP24" i="22"/>
  <c r="AQ24" i="22"/>
  <c r="AR24" i="22"/>
  <c r="AS24" i="22"/>
  <c r="AT24" i="22"/>
  <c r="AU24" i="22"/>
  <c r="AV24" i="22"/>
  <c r="AW24" i="22"/>
  <c r="AX24" i="22"/>
  <c r="AY24" i="22"/>
  <c r="AZ24" i="22"/>
  <c r="BA24" i="22"/>
  <c r="BB24" i="22"/>
  <c r="BC24" i="22"/>
  <c r="BD24" i="22"/>
  <c r="BE24" i="22"/>
  <c r="BF24" i="22"/>
  <c r="BG24" i="22"/>
  <c r="BH24" i="22"/>
  <c r="BI24" i="22"/>
  <c r="BJ24" i="22"/>
  <c r="BK24" i="22"/>
  <c r="BL24" i="22"/>
  <c r="BM24" i="22"/>
  <c r="BN24" i="22"/>
  <c r="BO24" i="22"/>
  <c r="BP24" i="22"/>
  <c r="BQ24" i="22"/>
  <c r="BR24" i="22"/>
  <c r="BS24" i="22"/>
  <c r="BT24" i="22"/>
  <c r="BU24" i="22"/>
  <c r="BV24" i="22"/>
  <c r="BW24" i="22"/>
  <c r="BX24" i="22"/>
  <c r="BY24" i="22"/>
  <c r="BZ24" i="22"/>
  <c r="CA24" i="22"/>
  <c r="CB24" i="22"/>
  <c r="CC24" i="22"/>
  <c r="CD24" i="22"/>
  <c r="CE24" i="22"/>
  <c r="CF24" i="22"/>
  <c r="CG24" i="22"/>
  <c r="CH24" i="22"/>
  <c r="CI24" i="22"/>
  <c r="CJ24" i="22"/>
  <c r="CK24" i="22"/>
  <c r="CL24" i="22"/>
  <c r="CM24" i="22"/>
  <c r="CN24" i="22"/>
  <c r="CO24" i="22"/>
  <c r="CP24" i="22"/>
  <c r="CQ24" i="22"/>
  <c r="CR24" i="22"/>
  <c r="CS24" i="22"/>
  <c r="CT24" i="22"/>
  <c r="CU24" i="22"/>
  <c r="CV24" i="22"/>
  <c r="CW24" i="22"/>
  <c r="CX24" i="22"/>
  <c r="CY24" i="22"/>
  <c r="CZ24" i="22"/>
  <c r="DA24" i="22"/>
  <c r="DB24" i="22"/>
  <c r="DC24" i="22"/>
  <c r="DD24" i="22"/>
  <c r="DE24" i="22"/>
  <c r="DF24" i="22"/>
  <c r="DG24" i="22"/>
  <c r="DH24" i="22"/>
  <c r="DI24" i="22"/>
  <c r="DJ24" i="22"/>
  <c r="DK24" i="22"/>
  <c r="DL24" i="22"/>
  <c r="DM24" i="22"/>
  <c r="DN24" i="22"/>
  <c r="DO24" i="22"/>
  <c r="DP24" i="22"/>
  <c r="DQ24" i="22"/>
  <c r="DR24" i="22"/>
  <c r="DS24" i="22"/>
  <c r="B25" i="22"/>
  <c r="C25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P25" i="22"/>
  <c r="Q25" i="22"/>
  <c r="R25" i="22"/>
  <c r="S25" i="22"/>
  <c r="T25" i="22"/>
  <c r="U25" i="22"/>
  <c r="V25" i="22"/>
  <c r="W25" i="22"/>
  <c r="X25" i="22"/>
  <c r="Y25" i="22"/>
  <c r="Z25" i="22"/>
  <c r="AA25" i="22"/>
  <c r="AB25" i="22"/>
  <c r="AC25" i="22"/>
  <c r="AD25" i="22"/>
  <c r="AE25" i="22"/>
  <c r="AF25" i="22"/>
  <c r="AG25" i="22"/>
  <c r="AH25" i="22"/>
  <c r="AI25" i="22"/>
  <c r="AJ25" i="22"/>
  <c r="AK25" i="22"/>
  <c r="AL25" i="22"/>
  <c r="AM25" i="22"/>
  <c r="AN25" i="22"/>
  <c r="AO25" i="22"/>
  <c r="AP25" i="22"/>
  <c r="AQ25" i="22"/>
  <c r="AR25" i="22"/>
  <c r="AS25" i="22"/>
  <c r="AT25" i="22"/>
  <c r="AU25" i="22"/>
  <c r="AV25" i="22"/>
  <c r="AW25" i="22"/>
  <c r="AX25" i="22"/>
  <c r="AY25" i="22"/>
  <c r="AZ25" i="22"/>
  <c r="BA25" i="22"/>
  <c r="BB25" i="22"/>
  <c r="BC25" i="22"/>
  <c r="BD25" i="22"/>
  <c r="BE25" i="22"/>
  <c r="BF25" i="22"/>
  <c r="BG25" i="22"/>
  <c r="BH25" i="22"/>
  <c r="BI25" i="22"/>
  <c r="BJ25" i="22"/>
  <c r="BK25" i="22"/>
  <c r="BL25" i="22"/>
  <c r="BM25" i="22"/>
  <c r="BN25" i="22"/>
  <c r="BO25" i="22"/>
  <c r="BP25" i="22"/>
  <c r="BQ25" i="22"/>
  <c r="BR25" i="22"/>
  <c r="BS25" i="22"/>
  <c r="BT25" i="22"/>
  <c r="BU25" i="22"/>
  <c r="BV25" i="22"/>
  <c r="BW25" i="22"/>
  <c r="BX25" i="22"/>
  <c r="BY25" i="22"/>
  <c r="BZ25" i="22"/>
  <c r="CA25" i="22"/>
  <c r="CB25" i="22"/>
  <c r="CC25" i="22"/>
  <c r="CD25" i="22"/>
  <c r="CE25" i="22"/>
  <c r="CF25" i="22"/>
  <c r="CG25" i="22"/>
  <c r="CH25" i="22"/>
  <c r="CI25" i="22"/>
  <c r="CJ25" i="22"/>
  <c r="CK25" i="22"/>
  <c r="CL25" i="22"/>
  <c r="CM25" i="22"/>
  <c r="CN25" i="22"/>
  <c r="CO25" i="22"/>
  <c r="CP25" i="22"/>
  <c r="CQ25" i="22"/>
  <c r="CR25" i="22"/>
  <c r="CS25" i="22"/>
  <c r="CT25" i="22"/>
  <c r="CU25" i="22"/>
  <c r="CV25" i="22"/>
  <c r="CW25" i="22"/>
  <c r="CX25" i="22"/>
  <c r="CY25" i="22"/>
  <c r="CZ25" i="22"/>
  <c r="DA25" i="22"/>
  <c r="DB25" i="22"/>
  <c r="DC25" i="22"/>
  <c r="DD25" i="22"/>
  <c r="DE25" i="22"/>
  <c r="DF25" i="22"/>
  <c r="DG25" i="22"/>
  <c r="DH25" i="22"/>
  <c r="DI25" i="22"/>
  <c r="DJ25" i="22"/>
  <c r="DK25" i="22"/>
  <c r="DL25" i="22"/>
  <c r="DM25" i="22"/>
  <c r="DN25" i="22"/>
  <c r="DO25" i="22"/>
  <c r="DP25" i="22"/>
  <c r="DQ25" i="22"/>
  <c r="DR25" i="22"/>
  <c r="DS25" i="22"/>
  <c r="B26" i="22"/>
  <c r="C26" i="22"/>
  <c r="D26" i="22"/>
  <c r="E26" i="22"/>
  <c r="F26" i="22"/>
  <c r="G26" i="22"/>
  <c r="H26" i="22"/>
  <c r="I26" i="22"/>
  <c r="J26" i="22"/>
  <c r="K26" i="22"/>
  <c r="L26" i="22"/>
  <c r="M26" i="22"/>
  <c r="N26" i="22"/>
  <c r="O26" i="22"/>
  <c r="P26" i="22"/>
  <c r="Q26" i="22"/>
  <c r="R26" i="22"/>
  <c r="S26" i="22"/>
  <c r="T26" i="22"/>
  <c r="U26" i="22"/>
  <c r="V26" i="22"/>
  <c r="W26" i="22"/>
  <c r="X26" i="22"/>
  <c r="Y26" i="22"/>
  <c r="Z26" i="22"/>
  <c r="AA26" i="22"/>
  <c r="AB26" i="22"/>
  <c r="AC26" i="22"/>
  <c r="AD26" i="22"/>
  <c r="AE26" i="22"/>
  <c r="AF26" i="22"/>
  <c r="AG26" i="22"/>
  <c r="AH26" i="22"/>
  <c r="AI26" i="22"/>
  <c r="AJ26" i="22"/>
  <c r="AK26" i="22"/>
  <c r="AL26" i="22"/>
  <c r="AM26" i="22"/>
  <c r="AN26" i="22"/>
  <c r="AO26" i="22"/>
  <c r="AP26" i="22"/>
  <c r="AQ26" i="22"/>
  <c r="AR26" i="22"/>
  <c r="AS26" i="22"/>
  <c r="AT26" i="22"/>
  <c r="AU26" i="22"/>
  <c r="AV26" i="22"/>
  <c r="AW26" i="22"/>
  <c r="AX26" i="22"/>
  <c r="AY26" i="22"/>
  <c r="AZ26" i="22"/>
  <c r="BA26" i="22"/>
  <c r="BB26" i="22"/>
  <c r="BC26" i="22"/>
  <c r="BD26" i="22"/>
  <c r="BE26" i="22"/>
  <c r="BF26" i="22"/>
  <c r="BG26" i="22"/>
  <c r="BH26" i="22"/>
  <c r="BI26" i="22"/>
  <c r="BJ26" i="22"/>
  <c r="BK26" i="22"/>
  <c r="BL26" i="22"/>
  <c r="BM26" i="22"/>
  <c r="BN26" i="22"/>
  <c r="BO26" i="22"/>
  <c r="BP26" i="22"/>
  <c r="BQ26" i="22"/>
  <c r="BR26" i="22"/>
  <c r="BS26" i="22"/>
  <c r="BT26" i="22"/>
  <c r="BU26" i="22"/>
  <c r="BV26" i="22"/>
  <c r="BW26" i="22"/>
  <c r="BX26" i="22"/>
  <c r="BY26" i="22"/>
  <c r="BZ26" i="22"/>
  <c r="CA26" i="22"/>
  <c r="CB26" i="22"/>
  <c r="CC26" i="22"/>
  <c r="CD26" i="22"/>
  <c r="CE26" i="22"/>
  <c r="CF26" i="22"/>
  <c r="CG26" i="22"/>
  <c r="CH26" i="22"/>
  <c r="CI26" i="22"/>
  <c r="CJ26" i="22"/>
  <c r="CK26" i="22"/>
  <c r="CL26" i="22"/>
  <c r="CM26" i="22"/>
  <c r="CN26" i="22"/>
  <c r="CO26" i="22"/>
  <c r="CP26" i="22"/>
  <c r="CQ26" i="22"/>
  <c r="CR26" i="22"/>
  <c r="CS26" i="22"/>
  <c r="CT26" i="22"/>
  <c r="CU26" i="22"/>
  <c r="CV26" i="22"/>
  <c r="CW26" i="22"/>
  <c r="CX26" i="22"/>
  <c r="CY26" i="22"/>
  <c r="CZ26" i="22"/>
  <c r="DA26" i="22"/>
  <c r="DB26" i="22"/>
  <c r="DC26" i="22"/>
  <c r="DD26" i="22"/>
  <c r="DE26" i="22"/>
  <c r="DF26" i="22"/>
  <c r="DG26" i="22"/>
  <c r="DH26" i="22"/>
  <c r="DI26" i="22"/>
  <c r="DJ26" i="22"/>
  <c r="DK26" i="22"/>
  <c r="DL26" i="22"/>
  <c r="DM26" i="22"/>
  <c r="DN26" i="22"/>
  <c r="DO26" i="22"/>
  <c r="DP26" i="22"/>
  <c r="DQ26" i="22"/>
  <c r="DR26" i="22"/>
  <c r="DS26" i="22"/>
  <c r="B27" i="22"/>
  <c r="C27" i="22"/>
  <c r="D27" i="22"/>
  <c r="E27" i="22"/>
  <c r="F27" i="22"/>
  <c r="G27" i="22"/>
  <c r="H27" i="22"/>
  <c r="I27" i="22"/>
  <c r="J27" i="22"/>
  <c r="K27" i="22"/>
  <c r="L27" i="22"/>
  <c r="M27" i="22"/>
  <c r="N27" i="22"/>
  <c r="O27" i="22"/>
  <c r="P27" i="22"/>
  <c r="Q27" i="22"/>
  <c r="R27" i="22"/>
  <c r="S27" i="22"/>
  <c r="T27" i="22"/>
  <c r="U27" i="22"/>
  <c r="V27" i="22"/>
  <c r="W27" i="22"/>
  <c r="X27" i="22"/>
  <c r="Y27" i="22"/>
  <c r="Z27" i="22"/>
  <c r="AA27" i="22"/>
  <c r="AB27" i="22"/>
  <c r="AC27" i="22"/>
  <c r="AD27" i="22"/>
  <c r="AE27" i="22"/>
  <c r="AF27" i="22"/>
  <c r="AG27" i="22"/>
  <c r="AH27" i="22"/>
  <c r="AI27" i="22"/>
  <c r="AJ27" i="22"/>
  <c r="AK27" i="22"/>
  <c r="AL27" i="22"/>
  <c r="AM27" i="22"/>
  <c r="AN27" i="22"/>
  <c r="AO27" i="22"/>
  <c r="AP27" i="22"/>
  <c r="AQ27" i="22"/>
  <c r="AR27" i="22"/>
  <c r="AS27" i="22"/>
  <c r="AT27" i="22"/>
  <c r="AU27" i="22"/>
  <c r="AV27" i="22"/>
  <c r="AW27" i="22"/>
  <c r="AX27" i="22"/>
  <c r="AY27" i="22"/>
  <c r="AZ27" i="22"/>
  <c r="BA27" i="22"/>
  <c r="BB27" i="22"/>
  <c r="BC27" i="22"/>
  <c r="BD27" i="22"/>
  <c r="BE27" i="22"/>
  <c r="BF27" i="22"/>
  <c r="BG27" i="22"/>
  <c r="BH27" i="22"/>
  <c r="BI27" i="22"/>
  <c r="BJ27" i="22"/>
  <c r="BK27" i="22"/>
  <c r="BL27" i="22"/>
  <c r="BM27" i="22"/>
  <c r="BN27" i="22"/>
  <c r="BO27" i="22"/>
  <c r="BP27" i="22"/>
  <c r="BQ27" i="22"/>
  <c r="BR27" i="22"/>
  <c r="BS27" i="22"/>
  <c r="BT27" i="22"/>
  <c r="BU27" i="22"/>
  <c r="BV27" i="22"/>
  <c r="BW27" i="22"/>
  <c r="BX27" i="22"/>
  <c r="BY27" i="22"/>
  <c r="BZ27" i="22"/>
  <c r="CA27" i="22"/>
  <c r="CB27" i="22"/>
  <c r="CC27" i="22"/>
  <c r="CD27" i="22"/>
  <c r="CE27" i="22"/>
  <c r="CF27" i="22"/>
  <c r="CG27" i="22"/>
  <c r="CH27" i="22"/>
  <c r="CI27" i="22"/>
  <c r="CJ27" i="22"/>
  <c r="CK27" i="22"/>
  <c r="CL27" i="22"/>
  <c r="CM27" i="22"/>
  <c r="CN27" i="22"/>
  <c r="CO27" i="22"/>
  <c r="CP27" i="22"/>
  <c r="CQ27" i="22"/>
  <c r="CR27" i="22"/>
  <c r="CS27" i="22"/>
  <c r="CT27" i="22"/>
  <c r="CU27" i="22"/>
  <c r="CV27" i="22"/>
  <c r="CW27" i="22"/>
  <c r="CX27" i="22"/>
  <c r="CY27" i="22"/>
  <c r="CZ27" i="22"/>
  <c r="DA27" i="22"/>
  <c r="DB27" i="22"/>
  <c r="DC27" i="22"/>
  <c r="DD27" i="22"/>
  <c r="DE27" i="22"/>
  <c r="DF27" i="22"/>
  <c r="DG27" i="22"/>
  <c r="DH27" i="22"/>
  <c r="DI27" i="22"/>
  <c r="DJ27" i="22"/>
  <c r="DK27" i="22"/>
  <c r="DL27" i="22"/>
  <c r="DM27" i="22"/>
  <c r="DN27" i="22"/>
  <c r="DO27" i="22"/>
  <c r="DP27" i="22"/>
  <c r="DQ27" i="22"/>
  <c r="DR27" i="22"/>
  <c r="DS27" i="22"/>
  <c r="B28" i="22"/>
  <c r="C28" i="22"/>
  <c r="D28" i="22"/>
  <c r="E28" i="22"/>
  <c r="F28" i="22"/>
  <c r="G28" i="22"/>
  <c r="H28" i="22"/>
  <c r="I28" i="22"/>
  <c r="J28" i="22"/>
  <c r="K28" i="22"/>
  <c r="L28" i="22"/>
  <c r="M28" i="22"/>
  <c r="N28" i="22"/>
  <c r="O28" i="22"/>
  <c r="P28" i="22"/>
  <c r="Q28" i="22"/>
  <c r="R28" i="22"/>
  <c r="S28" i="22"/>
  <c r="T28" i="22"/>
  <c r="U28" i="22"/>
  <c r="V28" i="22"/>
  <c r="W28" i="22"/>
  <c r="X28" i="22"/>
  <c r="Y28" i="22"/>
  <c r="Z28" i="22"/>
  <c r="AA28" i="22"/>
  <c r="AB28" i="22"/>
  <c r="AC28" i="22"/>
  <c r="AD28" i="22"/>
  <c r="AE28" i="22"/>
  <c r="AF28" i="22"/>
  <c r="AG28" i="22"/>
  <c r="AH28" i="22"/>
  <c r="AI28" i="22"/>
  <c r="AJ28" i="22"/>
  <c r="AK28" i="22"/>
  <c r="AL28" i="22"/>
  <c r="AM28" i="22"/>
  <c r="AN28" i="22"/>
  <c r="AO28" i="22"/>
  <c r="AP28" i="22"/>
  <c r="AQ28" i="22"/>
  <c r="AR28" i="22"/>
  <c r="AS28" i="22"/>
  <c r="AT28" i="22"/>
  <c r="AU28" i="22"/>
  <c r="AV28" i="22"/>
  <c r="AW28" i="22"/>
  <c r="AX28" i="22"/>
  <c r="AY28" i="22"/>
  <c r="AZ28" i="22"/>
  <c r="BA28" i="22"/>
  <c r="BB28" i="22"/>
  <c r="BC28" i="22"/>
  <c r="BD28" i="22"/>
  <c r="BE28" i="22"/>
  <c r="BF28" i="22"/>
  <c r="BG28" i="22"/>
  <c r="BH28" i="22"/>
  <c r="BI28" i="22"/>
  <c r="BJ28" i="22"/>
  <c r="BK28" i="22"/>
  <c r="BL28" i="22"/>
  <c r="BM28" i="22"/>
  <c r="BN28" i="22"/>
  <c r="BO28" i="22"/>
  <c r="BP28" i="22"/>
  <c r="BQ28" i="22"/>
  <c r="BR28" i="22"/>
  <c r="BS28" i="22"/>
  <c r="BT28" i="22"/>
  <c r="BU28" i="22"/>
  <c r="BV28" i="22"/>
  <c r="BW28" i="22"/>
  <c r="BX28" i="22"/>
  <c r="BY28" i="22"/>
  <c r="BZ28" i="22"/>
  <c r="CA28" i="22"/>
  <c r="CB28" i="22"/>
  <c r="CC28" i="22"/>
  <c r="CD28" i="22"/>
  <c r="CE28" i="22"/>
  <c r="CF28" i="22"/>
  <c r="CG28" i="22"/>
  <c r="CH28" i="22"/>
  <c r="CI28" i="22"/>
  <c r="CJ28" i="22"/>
  <c r="CK28" i="22"/>
  <c r="CL28" i="22"/>
  <c r="CM28" i="22"/>
  <c r="CN28" i="22"/>
  <c r="CO28" i="22"/>
  <c r="CP28" i="22"/>
  <c r="CQ28" i="22"/>
  <c r="CR28" i="22"/>
  <c r="CS28" i="22"/>
  <c r="CT28" i="22"/>
  <c r="CU28" i="22"/>
  <c r="CV28" i="22"/>
  <c r="CW28" i="22"/>
  <c r="CX28" i="22"/>
  <c r="CY28" i="22"/>
  <c r="CZ28" i="22"/>
  <c r="DA28" i="22"/>
  <c r="DB28" i="22"/>
  <c r="DC28" i="22"/>
  <c r="DD28" i="22"/>
  <c r="DE28" i="22"/>
  <c r="DF28" i="22"/>
  <c r="DG28" i="22"/>
  <c r="DH28" i="22"/>
  <c r="DI28" i="22"/>
  <c r="DJ28" i="22"/>
  <c r="DK28" i="22"/>
  <c r="DL28" i="22"/>
  <c r="DM28" i="22"/>
  <c r="DN28" i="22"/>
  <c r="DO28" i="22"/>
  <c r="DP28" i="22"/>
  <c r="DQ28" i="22"/>
  <c r="DR28" i="22"/>
  <c r="DS28" i="22"/>
  <c r="B29" i="22"/>
  <c r="C29" i="22"/>
  <c r="D29" i="22"/>
  <c r="E29" i="22"/>
  <c r="F29" i="22"/>
  <c r="G29" i="22"/>
  <c r="H29" i="22"/>
  <c r="I29" i="22"/>
  <c r="J29" i="22"/>
  <c r="K29" i="22"/>
  <c r="L29" i="22"/>
  <c r="M29" i="22"/>
  <c r="N29" i="22"/>
  <c r="O29" i="22"/>
  <c r="P29" i="22"/>
  <c r="Q29" i="22"/>
  <c r="R29" i="22"/>
  <c r="S29" i="22"/>
  <c r="T29" i="22"/>
  <c r="U29" i="22"/>
  <c r="V29" i="22"/>
  <c r="W29" i="22"/>
  <c r="X29" i="22"/>
  <c r="Y29" i="22"/>
  <c r="Z29" i="22"/>
  <c r="AA29" i="22"/>
  <c r="AB29" i="22"/>
  <c r="AC29" i="22"/>
  <c r="AD29" i="22"/>
  <c r="AE29" i="22"/>
  <c r="AF29" i="22"/>
  <c r="AG29" i="22"/>
  <c r="AH29" i="22"/>
  <c r="AI29" i="22"/>
  <c r="AJ29" i="22"/>
  <c r="AK29" i="22"/>
  <c r="AL29" i="22"/>
  <c r="AM29" i="22"/>
  <c r="AN29" i="22"/>
  <c r="AO29" i="22"/>
  <c r="AP29" i="22"/>
  <c r="AQ29" i="22"/>
  <c r="AR29" i="22"/>
  <c r="AS29" i="22"/>
  <c r="AT29" i="22"/>
  <c r="AU29" i="22"/>
  <c r="AV29" i="22"/>
  <c r="AW29" i="22"/>
  <c r="AX29" i="22"/>
  <c r="AY29" i="22"/>
  <c r="AZ29" i="22"/>
  <c r="BA29" i="22"/>
  <c r="BB29" i="22"/>
  <c r="BC29" i="22"/>
  <c r="BD29" i="22"/>
  <c r="BE29" i="22"/>
  <c r="BF29" i="22"/>
  <c r="BG29" i="22"/>
  <c r="BH29" i="22"/>
  <c r="BI29" i="22"/>
  <c r="BJ29" i="22"/>
  <c r="BK29" i="22"/>
  <c r="BL29" i="22"/>
  <c r="BM29" i="22"/>
  <c r="BN29" i="22"/>
  <c r="BO29" i="22"/>
  <c r="BP29" i="22"/>
  <c r="BQ29" i="22"/>
  <c r="BR29" i="22"/>
  <c r="BS29" i="22"/>
  <c r="BT29" i="22"/>
  <c r="BU29" i="22"/>
  <c r="BV29" i="22"/>
  <c r="BW29" i="22"/>
  <c r="BX29" i="22"/>
  <c r="BY29" i="22"/>
  <c r="BZ29" i="22"/>
  <c r="CA29" i="22"/>
  <c r="CB29" i="22"/>
  <c r="CC29" i="22"/>
  <c r="CD29" i="22"/>
  <c r="CE29" i="22"/>
  <c r="CF29" i="22"/>
  <c r="CG29" i="22"/>
  <c r="CH29" i="22"/>
  <c r="CI29" i="22"/>
  <c r="CJ29" i="22"/>
  <c r="CK29" i="22"/>
  <c r="CL29" i="22"/>
  <c r="CM29" i="22"/>
  <c r="CN29" i="22"/>
  <c r="CO29" i="22"/>
  <c r="CP29" i="22"/>
  <c r="CQ29" i="22"/>
  <c r="CR29" i="22"/>
  <c r="CS29" i="22"/>
  <c r="CT29" i="22"/>
  <c r="CU29" i="22"/>
  <c r="CV29" i="22"/>
  <c r="CW29" i="22"/>
  <c r="CX29" i="22"/>
  <c r="CY29" i="22"/>
  <c r="CZ29" i="22"/>
  <c r="DA29" i="22"/>
  <c r="DB29" i="22"/>
  <c r="DC29" i="22"/>
  <c r="DD29" i="22"/>
  <c r="DE29" i="22"/>
  <c r="DF29" i="22"/>
  <c r="DG29" i="22"/>
  <c r="DH29" i="22"/>
  <c r="DI29" i="22"/>
  <c r="DJ29" i="22"/>
  <c r="DK29" i="22"/>
  <c r="DL29" i="22"/>
  <c r="DM29" i="22"/>
  <c r="DN29" i="22"/>
  <c r="DO29" i="22"/>
  <c r="DP29" i="22"/>
  <c r="DQ29" i="22"/>
  <c r="DR29" i="22"/>
  <c r="DS29" i="22"/>
  <c r="B30" i="22"/>
  <c r="C30" i="22"/>
  <c r="D30" i="22"/>
  <c r="E30" i="22"/>
  <c r="F30" i="22"/>
  <c r="G30" i="22"/>
  <c r="H30" i="22"/>
  <c r="I30" i="22"/>
  <c r="J30" i="22"/>
  <c r="K30" i="22"/>
  <c r="L30" i="22"/>
  <c r="M30" i="22"/>
  <c r="N30" i="22"/>
  <c r="O30" i="22"/>
  <c r="P30" i="22"/>
  <c r="Q30" i="22"/>
  <c r="R30" i="22"/>
  <c r="S30" i="22"/>
  <c r="T30" i="22"/>
  <c r="U30" i="22"/>
  <c r="V30" i="22"/>
  <c r="W30" i="22"/>
  <c r="X30" i="22"/>
  <c r="Y30" i="22"/>
  <c r="Z30" i="22"/>
  <c r="AA30" i="22"/>
  <c r="AB30" i="22"/>
  <c r="AC30" i="22"/>
  <c r="AD30" i="22"/>
  <c r="AE30" i="22"/>
  <c r="AF30" i="22"/>
  <c r="AG30" i="22"/>
  <c r="AH30" i="22"/>
  <c r="AI30" i="22"/>
  <c r="AJ30" i="22"/>
  <c r="AK30" i="22"/>
  <c r="AL30" i="22"/>
  <c r="AM30" i="22"/>
  <c r="AN30" i="22"/>
  <c r="AO30" i="22"/>
  <c r="AP30" i="22"/>
  <c r="AQ30" i="22"/>
  <c r="AR30" i="22"/>
  <c r="AS30" i="22"/>
  <c r="AT30" i="22"/>
  <c r="AU30" i="22"/>
  <c r="AV30" i="22"/>
  <c r="AW30" i="22"/>
  <c r="AX30" i="22"/>
  <c r="AY30" i="22"/>
  <c r="AZ30" i="22"/>
  <c r="BA30" i="22"/>
  <c r="BB30" i="22"/>
  <c r="BC30" i="22"/>
  <c r="BD30" i="22"/>
  <c r="BE30" i="22"/>
  <c r="BF30" i="22"/>
  <c r="BG30" i="22"/>
  <c r="BH30" i="22"/>
  <c r="BI30" i="22"/>
  <c r="BJ30" i="22"/>
  <c r="BK30" i="22"/>
  <c r="BL30" i="22"/>
  <c r="BM30" i="22"/>
  <c r="BN30" i="22"/>
  <c r="BO30" i="22"/>
  <c r="BP30" i="22"/>
  <c r="BQ30" i="22"/>
  <c r="BR30" i="22"/>
  <c r="BS30" i="22"/>
  <c r="BT30" i="22"/>
  <c r="BU30" i="22"/>
  <c r="BV30" i="22"/>
  <c r="BW30" i="22"/>
  <c r="BX30" i="22"/>
  <c r="BY30" i="22"/>
  <c r="BZ30" i="22"/>
  <c r="CA30" i="22"/>
  <c r="CB30" i="22"/>
  <c r="CC30" i="22"/>
  <c r="CD30" i="22"/>
  <c r="CE30" i="22"/>
  <c r="CF30" i="22"/>
  <c r="CG30" i="22"/>
  <c r="CH30" i="22"/>
  <c r="CI30" i="22"/>
  <c r="CJ30" i="22"/>
  <c r="CK30" i="22"/>
  <c r="CL30" i="22"/>
  <c r="CM30" i="22"/>
  <c r="CN30" i="22"/>
  <c r="CO30" i="22"/>
  <c r="CP30" i="22"/>
  <c r="CQ30" i="22"/>
  <c r="CR30" i="22"/>
  <c r="CS30" i="22"/>
  <c r="CT30" i="22"/>
  <c r="CU30" i="22"/>
  <c r="CV30" i="22"/>
  <c r="CW30" i="22"/>
  <c r="CX30" i="22"/>
  <c r="CY30" i="22"/>
  <c r="CZ30" i="22"/>
  <c r="DA30" i="22"/>
  <c r="DB30" i="22"/>
  <c r="DC30" i="22"/>
  <c r="DD30" i="22"/>
  <c r="DE30" i="22"/>
  <c r="DF30" i="22"/>
  <c r="DG30" i="22"/>
  <c r="DH30" i="22"/>
  <c r="DI30" i="22"/>
  <c r="DJ30" i="22"/>
  <c r="DK30" i="22"/>
  <c r="DL30" i="22"/>
  <c r="DM30" i="22"/>
  <c r="DN30" i="22"/>
  <c r="DO30" i="22"/>
  <c r="DP30" i="22"/>
  <c r="DQ30" i="22"/>
  <c r="DR30" i="22"/>
  <c r="DS30" i="22"/>
  <c r="B31" i="22"/>
  <c r="C31" i="22"/>
  <c r="D31" i="22"/>
  <c r="E31" i="22"/>
  <c r="F31" i="22"/>
  <c r="G31" i="22"/>
  <c r="H31" i="22"/>
  <c r="I31" i="22"/>
  <c r="J31" i="22"/>
  <c r="K31" i="22"/>
  <c r="L31" i="22"/>
  <c r="M31" i="22"/>
  <c r="N31" i="22"/>
  <c r="O31" i="22"/>
  <c r="P31" i="22"/>
  <c r="Q31" i="22"/>
  <c r="R31" i="22"/>
  <c r="S31" i="22"/>
  <c r="T31" i="22"/>
  <c r="U31" i="22"/>
  <c r="V31" i="22"/>
  <c r="W31" i="22"/>
  <c r="X31" i="22"/>
  <c r="Y31" i="22"/>
  <c r="Z31" i="22"/>
  <c r="AA31" i="22"/>
  <c r="AB31" i="22"/>
  <c r="AC31" i="22"/>
  <c r="AD31" i="22"/>
  <c r="AE31" i="22"/>
  <c r="AF31" i="22"/>
  <c r="AG31" i="22"/>
  <c r="AH31" i="22"/>
  <c r="AI31" i="22"/>
  <c r="AJ31" i="22"/>
  <c r="AK31" i="22"/>
  <c r="AL31" i="22"/>
  <c r="AM31" i="22"/>
  <c r="AN31" i="22"/>
  <c r="AO31" i="22"/>
  <c r="AP31" i="22"/>
  <c r="AQ31" i="22"/>
  <c r="AR31" i="22"/>
  <c r="AS31" i="22"/>
  <c r="AT31" i="22"/>
  <c r="AU31" i="22"/>
  <c r="AV31" i="22"/>
  <c r="AW31" i="22"/>
  <c r="AX31" i="22"/>
  <c r="AY31" i="22"/>
  <c r="AZ31" i="22"/>
  <c r="BA31" i="22"/>
  <c r="BB31" i="22"/>
  <c r="BC31" i="22"/>
  <c r="BD31" i="22"/>
  <c r="BE31" i="22"/>
  <c r="BF31" i="22"/>
  <c r="BG31" i="22"/>
  <c r="BH31" i="22"/>
  <c r="BI31" i="22"/>
  <c r="BJ31" i="22"/>
  <c r="BK31" i="22"/>
  <c r="BL31" i="22"/>
  <c r="BM31" i="22"/>
  <c r="BN31" i="22"/>
  <c r="BO31" i="22"/>
  <c r="BP31" i="22"/>
  <c r="BQ31" i="22"/>
  <c r="BR31" i="22"/>
  <c r="BS31" i="22"/>
  <c r="BT31" i="22"/>
  <c r="BU31" i="22"/>
  <c r="BV31" i="22"/>
  <c r="BW31" i="22"/>
  <c r="BX31" i="22"/>
  <c r="BY31" i="22"/>
  <c r="BZ31" i="22"/>
  <c r="CA31" i="22"/>
  <c r="CB31" i="22"/>
  <c r="CC31" i="22"/>
  <c r="CD31" i="22"/>
  <c r="CE31" i="22"/>
  <c r="CF31" i="22"/>
  <c r="CG31" i="22"/>
  <c r="CH31" i="22"/>
  <c r="CI31" i="22"/>
  <c r="CJ31" i="22"/>
  <c r="CK31" i="22"/>
  <c r="CL31" i="22"/>
  <c r="CM31" i="22"/>
  <c r="CN31" i="22"/>
  <c r="CO31" i="22"/>
  <c r="CP31" i="22"/>
  <c r="CQ31" i="22"/>
  <c r="CR31" i="22"/>
  <c r="CS31" i="22"/>
  <c r="CT31" i="22"/>
  <c r="CU31" i="22"/>
  <c r="CV31" i="22"/>
  <c r="CW31" i="22"/>
  <c r="CX31" i="22"/>
  <c r="CY31" i="22"/>
  <c r="CZ31" i="22"/>
  <c r="DA31" i="22"/>
  <c r="DB31" i="22"/>
  <c r="DC31" i="22"/>
  <c r="DD31" i="22"/>
  <c r="DE31" i="22"/>
  <c r="DF31" i="22"/>
  <c r="DG31" i="22"/>
  <c r="DH31" i="22"/>
  <c r="DI31" i="22"/>
  <c r="DJ31" i="22"/>
  <c r="DK31" i="22"/>
  <c r="DL31" i="22"/>
  <c r="DM31" i="22"/>
  <c r="DN31" i="22"/>
  <c r="DO31" i="22"/>
  <c r="DP31" i="22"/>
  <c r="DQ31" i="22"/>
  <c r="DR31" i="22"/>
  <c r="DS31" i="22"/>
  <c r="B32" i="22"/>
  <c r="C32" i="22"/>
  <c r="D32" i="22"/>
  <c r="E32" i="22"/>
  <c r="F32" i="22"/>
  <c r="G32" i="22"/>
  <c r="H32" i="22"/>
  <c r="I32" i="22"/>
  <c r="J32" i="22"/>
  <c r="K32" i="22"/>
  <c r="L32" i="22"/>
  <c r="M32" i="22"/>
  <c r="N32" i="22"/>
  <c r="O32" i="22"/>
  <c r="P32" i="22"/>
  <c r="Q32" i="22"/>
  <c r="R32" i="22"/>
  <c r="S32" i="22"/>
  <c r="T32" i="22"/>
  <c r="U32" i="22"/>
  <c r="V32" i="22"/>
  <c r="W32" i="22"/>
  <c r="X32" i="22"/>
  <c r="Y32" i="22"/>
  <c r="Z32" i="22"/>
  <c r="AA32" i="22"/>
  <c r="AB32" i="22"/>
  <c r="AC32" i="22"/>
  <c r="AD32" i="22"/>
  <c r="AE32" i="22"/>
  <c r="AF32" i="22"/>
  <c r="AG32" i="22"/>
  <c r="AH32" i="22"/>
  <c r="AI32" i="22"/>
  <c r="AJ32" i="22"/>
  <c r="AK32" i="22"/>
  <c r="AL32" i="22"/>
  <c r="AM32" i="22"/>
  <c r="AN32" i="22"/>
  <c r="AO32" i="22"/>
  <c r="AP32" i="22"/>
  <c r="AQ32" i="22"/>
  <c r="AR32" i="22"/>
  <c r="AS32" i="22"/>
  <c r="AT32" i="22"/>
  <c r="AU32" i="22"/>
  <c r="AV32" i="22"/>
  <c r="AW32" i="22"/>
  <c r="AX32" i="22"/>
  <c r="AY32" i="22"/>
  <c r="AZ32" i="22"/>
  <c r="BA32" i="22"/>
  <c r="BB32" i="22"/>
  <c r="BC32" i="22"/>
  <c r="BD32" i="22"/>
  <c r="BE32" i="22"/>
  <c r="BF32" i="22"/>
  <c r="BG32" i="22"/>
  <c r="BH32" i="22"/>
  <c r="BI32" i="22"/>
  <c r="BJ32" i="22"/>
  <c r="BK32" i="22"/>
  <c r="BL32" i="22"/>
  <c r="BM32" i="22"/>
  <c r="BN32" i="22"/>
  <c r="BO32" i="22"/>
  <c r="BP32" i="22"/>
  <c r="BQ32" i="22"/>
  <c r="BR32" i="22"/>
  <c r="BS32" i="22"/>
  <c r="BT32" i="22"/>
  <c r="BU32" i="22"/>
  <c r="BV32" i="22"/>
  <c r="BW32" i="22"/>
  <c r="BX32" i="22"/>
  <c r="BY32" i="22"/>
  <c r="BZ32" i="22"/>
  <c r="CA32" i="22"/>
  <c r="CB32" i="22"/>
  <c r="CC32" i="22"/>
  <c r="CD32" i="22"/>
  <c r="CE32" i="22"/>
  <c r="CF32" i="22"/>
  <c r="CG32" i="22"/>
  <c r="CH32" i="22"/>
  <c r="CI32" i="22"/>
  <c r="CJ32" i="22"/>
  <c r="CK32" i="22"/>
  <c r="CL32" i="22"/>
  <c r="CM32" i="22"/>
  <c r="CN32" i="22"/>
  <c r="CO32" i="22"/>
  <c r="CP32" i="22"/>
  <c r="CQ32" i="22"/>
  <c r="CR32" i="22"/>
  <c r="CS32" i="22"/>
  <c r="CT32" i="22"/>
  <c r="CU32" i="22"/>
  <c r="CV32" i="22"/>
  <c r="CW32" i="22"/>
  <c r="CX32" i="22"/>
  <c r="CY32" i="22"/>
  <c r="CZ32" i="22"/>
  <c r="DA32" i="22"/>
  <c r="DB32" i="22"/>
  <c r="DC32" i="22"/>
  <c r="DD32" i="22"/>
  <c r="DE32" i="22"/>
  <c r="DF32" i="22"/>
  <c r="DG32" i="22"/>
  <c r="DH32" i="22"/>
  <c r="DI32" i="22"/>
  <c r="DJ32" i="22"/>
  <c r="DK32" i="22"/>
  <c r="DL32" i="22"/>
  <c r="DM32" i="22"/>
  <c r="DN32" i="22"/>
  <c r="DO32" i="22"/>
  <c r="DP32" i="22"/>
  <c r="DQ32" i="22"/>
  <c r="DR32" i="22"/>
  <c r="DS32" i="22"/>
  <c r="B33" i="22"/>
  <c r="C33" i="22"/>
  <c r="D33" i="22"/>
  <c r="E33" i="22"/>
  <c r="F33" i="22"/>
  <c r="G33" i="22"/>
  <c r="H33" i="22"/>
  <c r="I33" i="22"/>
  <c r="J33" i="22"/>
  <c r="K33" i="22"/>
  <c r="L33" i="22"/>
  <c r="M33" i="22"/>
  <c r="N33" i="22"/>
  <c r="O33" i="22"/>
  <c r="P33" i="22"/>
  <c r="Q33" i="22"/>
  <c r="R33" i="22"/>
  <c r="S33" i="22"/>
  <c r="T33" i="22"/>
  <c r="U33" i="22"/>
  <c r="V33" i="22"/>
  <c r="W33" i="22"/>
  <c r="X33" i="22"/>
  <c r="Y33" i="22"/>
  <c r="Z33" i="22"/>
  <c r="AA33" i="22"/>
  <c r="AB33" i="22"/>
  <c r="AC33" i="22"/>
  <c r="AD33" i="22"/>
  <c r="AE33" i="22"/>
  <c r="AF33" i="22"/>
  <c r="AG33" i="22"/>
  <c r="AH33" i="22"/>
  <c r="AI33" i="22"/>
  <c r="AJ33" i="22"/>
  <c r="AK33" i="22"/>
  <c r="AL33" i="22"/>
  <c r="AM33" i="22"/>
  <c r="AN33" i="22"/>
  <c r="AO33" i="22"/>
  <c r="AP33" i="22"/>
  <c r="AQ33" i="22"/>
  <c r="AR33" i="22"/>
  <c r="AS33" i="22"/>
  <c r="AT33" i="22"/>
  <c r="AU33" i="22"/>
  <c r="AV33" i="22"/>
  <c r="AW33" i="22"/>
  <c r="AX33" i="22"/>
  <c r="AY33" i="22"/>
  <c r="AZ33" i="22"/>
  <c r="BA33" i="22"/>
  <c r="BB33" i="22"/>
  <c r="BC33" i="22"/>
  <c r="BD33" i="22"/>
  <c r="BE33" i="22"/>
  <c r="BF33" i="22"/>
  <c r="BG33" i="22"/>
  <c r="BH33" i="22"/>
  <c r="BI33" i="22"/>
  <c r="BJ33" i="22"/>
  <c r="BK33" i="22"/>
  <c r="BL33" i="22"/>
  <c r="BM33" i="22"/>
  <c r="BN33" i="22"/>
  <c r="BO33" i="22"/>
  <c r="BP33" i="22"/>
  <c r="BQ33" i="22"/>
  <c r="BR33" i="22"/>
  <c r="BS33" i="22"/>
  <c r="BT33" i="22"/>
  <c r="BU33" i="22"/>
  <c r="BV33" i="22"/>
  <c r="BW33" i="22"/>
  <c r="BX33" i="22"/>
  <c r="BY33" i="22"/>
  <c r="BZ33" i="22"/>
  <c r="CA33" i="22"/>
  <c r="CB33" i="22"/>
  <c r="CC33" i="22"/>
  <c r="CD33" i="22"/>
  <c r="CE33" i="22"/>
  <c r="CF33" i="22"/>
  <c r="CG33" i="22"/>
  <c r="CH33" i="22"/>
  <c r="CI33" i="22"/>
  <c r="CJ33" i="22"/>
  <c r="CK33" i="22"/>
  <c r="CL33" i="22"/>
  <c r="CM33" i="22"/>
  <c r="CN33" i="22"/>
  <c r="CO33" i="22"/>
  <c r="CP33" i="22"/>
  <c r="CQ33" i="22"/>
  <c r="CR33" i="22"/>
  <c r="CS33" i="22"/>
  <c r="CT33" i="22"/>
  <c r="CU33" i="22"/>
  <c r="CV33" i="22"/>
  <c r="CW33" i="22"/>
  <c r="CX33" i="22"/>
  <c r="CY33" i="22"/>
  <c r="CZ33" i="22"/>
  <c r="DA33" i="22"/>
  <c r="DB33" i="22"/>
  <c r="DC33" i="22"/>
  <c r="DD33" i="22"/>
  <c r="DE33" i="22"/>
  <c r="DF33" i="22"/>
  <c r="DG33" i="22"/>
  <c r="DH33" i="22"/>
  <c r="DI33" i="22"/>
  <c r="DJ33" i="22"/>
  <c r="DK33" i="22"/>
  <c r="DL33" i="22"/>
  <c r="DM33" i="22"/>
  <c r="DN33" i="22"/>
  <c r="DO33" i="22"/>
  <c r="DP33" i="22"/>
  <c r="DQ33" i="22"/>
  <c r="DR33" i="22"/>
  <c r="DS33" i="22"/>
  <c r="B34" i="22"/>
  <c r="C34" i="22"/>
  <c r="D34" i="22"/>
  <c r="E34" i="22"/>
  <c r="F34" i="22"/>
  <c r="G34" i="22"/>
  <c r="H34" i="22"/>
  <c r="I34" i="22"/>
  <c r="J34" i="22"/>
  <c r="K34" i="22"/>
  <c r="L34" i="22"/>
  <c r="M34" i="22"/>
  <c r="N34" i="22"/>
  <c r="O34" i="22"/>
  <c r="P34" i="22"/>
  <c r="Q34" i="22"/>
  <c r="R34" i="22"/>
  <c r="S34" i="22"/>
  <c r="T34" i="22"/>
  <c r="U34" i="22"/>
  <c r="V34" i="22"/>
  <c r="W34" i="22"/>
  <c r="X34" i="22"/>
  <c r="Y34" i="22"/>
  <c r="Z34" i="22"/>
  <c r="AA34" i="22"/>
  <c r="AB34" i="22"/>
  <c r="AC34" i="22"/>
  <c r="AD34" i="22"/>
  <c r="AE34" i="22"/>
  <c r="AF34" i="22"/>
  <c r="AG34" i="22"/>
  <c r="AH34" i="22"/>
  <c r="AI34" i="22"/>
  <c r="AJ34" i="22"/>
  <c r="AK34" i="22"/>
  <c r="AL34" i="22"/>
  <c r="AM34" i="22"/>
  <c r="AN34" i="22"/>
  <c r="AO34" i="22"/>
  <c r="AP34" i="22"/>
  <c r="AQ34" i="22"/>
  <c r="AR34" i="22"/>
  <c r="AS34" i="22"/>
  <c r="AT34" i="22"/>
  <c r="AU34" i="22"/>
  <c r="AV34" i="22"/>
  <c r="AW34" i="22"/>
  <c r="AX34" i="22"/>
  <c r="AY34" i="22"/>
  <c r="AZ34" i="22"/>
  <c r="BA34" i="22"/>
  <c r="BB34" i="22"/>
  <c r="BC34" i="22"/>
  <c r="BD34" i="22"/>
  <c r="BE34" i="22"/>
  <c r="BF34" i="22"/>
  <c r="BG34" i="22"/>
  <c r="BH34" i="22"/>
  <c r="BI34" i="22"/>
  <c r="BJ34" i="22"/>
  <c r="BK34" i="22"/>
  <c r="BL34" i="22"/>
  <c r="BM34" i="22"/>
  <c r="BN34" i="22"/>
  <c r="BO34" i="22"/>
  <c r="BP34" i="22"/>
  <c r="BQ34" i="22"/>
  <c r="BR34" i="22"/>
  <c r="BS34" i="22"/>
  <c r="BT34" i="22"/>
  <c r="BU34" i="22"/>
  <c r="BV34" i="22"/>
  <c r="BW34" i="22"/>
  <c r="BX34" i="22"/>
  <c r="BY34" i="22"/>
  <c r="BZ34" i="22"/>
  <c r="CA34" i="22"/>
  <c r="CB34" i="22"/>
  <c r="CC34" i="22"/>
  <c r="CD34" i="22"/>
  <c r="CE34" i="22"/>
  <c r="CF34" i="22"/>
  <c r="CG34" i="22"/>
  <c r="CH34" i="22"/>
  <c r="CI34" i="22"/>
  <c r="CJ34" i="22"/>
  <c r="CK34" i="22"/>
  <c r="CL34" i="22"/>
  <c r="CM34" i="22"/>
  <c r="CN34" i="22"/>
  <c r="CO34" i="22"/>
  <c r="CP34" i="22"/>
  <c r="CQ34" i="22"/>
  <c r="CR34" i="22"/>
  <c r="CS34" i="22"/>
  <c r="CT34" i="22"/>
  <c r="CU34" i="22"/>
  <c r="CV34" i="22"/>
  <c r="CW34" i="22"/>
  <c r="CX34" i="22"/>
  <c r="CY34" i="22"/>
  <c r="CZ34" i="22"/>
  <c r="DA34" i="22"/>
  <c r="DB34" i="22"/>
  <c r="DC34" i="22"/>
  <c r="DD34" i="22"/>
  <c r="DE34" i="22"/>
  <c r="DF34" i="22"/>
  <c r="DG34" i="22"/>
  <c r="DH34" i="22"/>
  <c r="DI34" i="22"/>
  <c r="DJ34" i="22"/>
  <c r="DK34" i="22"/>
  <c r="DL34" i="22"/>
  <c r="DM34" i="22"/>
  <c r="DN34" i="22"/>
  <c r="DO34" i="22"/>
  <c r="DP34" i="22"/>
  <c r="DQ34" i="22"/>
  <c r="DR34" i="22"/>
  <c r="DS34" i="22"/>
  <c r="B35" i="22"/>
  <c r="C35" i="22"/>
  <c r="D35" i="22"/>
  <c r="E35" i="22"/>
  <c r="F35" i="22"/>
  <c r="G35" i="22"/>
  <c r="H35" i="22"/>
  <c r="I35" i="22"/>
  <c r="J35" i="22"/>
  <c r="K35" i="22"/>
  <c r="L35" i="22"/>
  <c r="M35" i="22"/>
  <c r="N35" i="22"/>
  <c r="O35" i="22"/>
  <c r="P35" i="22"/>
  <c r="Q35" i="22"/>
  <c r="R35" i="22"/>
  <c r="S35" i="22"/>
  <c r="T35" i="22"/>
  <c r="U35" i="22"/>
  <c r="V35" i="22"/>
  <c r="W35" i="22"/>
  <c r="X35" i="22"/>
  <c r="Y35" i="22"/>
  <c r="Z35" i="22"/>
  <c r="AA35" i="22"/>
  <c r="AB35" i="22"/>
  <c r="AC35" i="22"/>
  <c r="AD35" i="22"/>
  <c r="AE35" i="22"/>
  <c r="AF35" i="22"/>
  <c r="AG35" i="22"/>
  <c r="AH35" i="22"/>
  <c r="AI35" i="22"/>
  <c r="AJ35" i="22"/>
  <c r="AK35" i="22"/>
  <c r="AL35" i="22"/>
  <c r="AM35" i="22"/>
  <c r="AN35" i="22"/>
  <c r="AO35" i="22"/>
  <c r="AP35" i="22"/>
  <c r="AQ35" i="22"/>
  <c r="AR35" i="22"/>
  <c r="AS35" i="22"/>
  <c r="AT35" i="22"/>
  <c r="AU35" i="22"/>
  <c r="AV35" i="22"/>
  <c r="AW35" i="22"/>
  <c r="AX35" i="22"/>
  <c r="AY35" i="22"/>
  <c r="AZ35" i="22"/>
  <c r="BA35" i="22"/>
  <c r="BB35" i="22"/>
  <c r="BC35" i="22"/>
  <c r="BD35" i="22"/>
  <c r="BE35" i="22"/>
  <c r="BF35" i="22"/>
  <c r="BG35" i="22"/>
  <c r="BH35" i="22"/>
  <c r="BI35" i="22"/>
  <c r="BJ35" i="22"/>
  <c r="BK35" i="22"/>
  <c r="BL35" i="22"/>
  <c r="BM35" i="22"/>
  <c r="BN35" i="22"/>
  <c r="BO35" i="22"/>
  <c r="BP35" i="22"/>
  <c r="BQ35" i="22"/>
  <c r="BR35" i="22"/>
  <c r="BS35" i="22"/>
  <c r="BT35" i="22"/>
  <c r="BU35" i="22"/>
  <c r="BV35" i="22"/>
  <c r="BW35" i="22"/>
  <c r="BX35" i="22"/>
  <c r="BY35" i="22"/>
  <c r="BZ35" i="22"/>
  <c r="CA35" i="22"/>
  <c r="CB35" i="22"/>
  <c r="CC35" i="22"/>
  <c r="CD35" i="22"/>
  <c r="CE35" i="22"/>
  <c r="CF35" i="22"/>
  <c r="CG35" i="22"/>
  <c r="CH35" i="22"/>
  <c r="CI35" i="22"/>
  <c r="CJ35" i="22"/>
  <c r="CK35" i="22"/>
  <c r="CL35" i="22"/>
  <c r="CM35" i="22"/>
  <c r="CN35" i="22"/>
  <c r="CO35" i="22"/>
  <c r="CP35" i="22"/>
  <c r="CQ35" i="22"/>
  <c r="CR35" i="22"/>
  <c r="CS35" i="22"/>
  <c r="CT35" i="22"/>
  <c r="CU35" i="22"/>
  <c r="CV35" i="22"/>
  <c r="CW35" i="22"/>
  <c r="CX35" i="22"/>
  <c r="CY35" i="22"/>
  <c r="CZ35" i="22"/>
  <c r="DA35" i="22"/>
  <c r="DB35" i="22"/>
  <c r="DC35" i="22"/>
  <c r="DD35" i="22"/>
  <c r="DE35" i="22"/>
  <c r="DF35" i="22"/>
  <c r="DG35" i="22"/>
  <c r="DH35" i="22"/>
  <c r="DI35" i="22"/>
  <c r="DJ35" i="22"/>
  <c r="DK35" i="22"/>
  <c r="DL35" i="22"/>
  <c r="DM35" i="22"/>
  <c r="DN35" i="22"/>
  <c r="DO35" i="22"/>
  <c r="DP35" i="22"/>
  <c r="DQ35" i="22"/>
  <c r="DR35" i="22"/>
  <c r="DS35" i="22"/>
  <c r="B36" i="22"/>
  <c r="C36" i="22"/>
  <c r="D36" i="22"/>
  <c r="E36" i="22"/>
  <c r="F36" i="22"/>
  <c r="G36" i="22"/>
  <c r="H36" i="22"/>
  <c r="I36" i="22"/>
  <c r="J36" i="22"/>
  <c r="K36" i="22"/>
  <c r="L36" i="22"/>
  <c r="M36" i="22"/>
  <c r="N36" i="22"/>
  <c r="O36" i="22"/>
  <c r="P36" i="22"/>
  <c r="Q36" i="22"/>
  <c r="R36" i="22"/>
  <c r="S36" i="22"/>
  <c r="T36" i="22"/>
  <c r="U36" i="22"/>
  <c r="V36" i="22"/>
  <c r="W36" i="22"/>
  <c r="X36" i="22"/>
  <c r="Y36" i="22"/>
  <c r="Z36" i="22"/>
  <c r="AA36" i="22"/>
  <c r="AB36" i="22"/>
  <c r="AC36" i="22"/>
  <c r="AD36" i="22"/>
  <c r="AE36" i="22"/>
  <c r="AF36" i="22"/>
  <c r="AG36" i="22"/>
  <c r="AH36" i="22"/>
  <c r="AI36" i="22"/>
  <c r="AJ36" i="22"/>
  <c r="AK36" i="22"/>
  <c r="AL36" i="22"/>
  <c r="AM36" i="22"/>
  <c r="AN36" i="22"/>
  <c r="AO36" i="22"/>
  <c r="AP36" i="22"/>
  <c r="AQ36" i="22"/>
  <c r="AR36" i="22"/>
  <c r="AS36" i="22"/>
  <c r="AT36" i="22"/>
  <c r="AU36" i="22"/>
  <c r="AV36" i="22"/>
  <c r="AW36" i="22"/>
  <c r="AX36" i="22"/>
  <c r="AY36" i="22"/>
  <c r="AZ36" i="22"/>
  <c r="BA36" i="22"/>
  <c r="BB36" i="22"/>
  <c r="BC36" i="22"/>
  <c r="BD36" i="22"/>
  <c r="BE36" i="22"/>
  <c r="BF36" i="22"/>
  <c r="BG36" i="22"/>
  <c r="BH36" i="22"/>
  <c r="BI36" i="22"/>
  <c r="BJ36" i="22"/>
  <c r="BK36" i="22"/>
  <c r="BL36" i="22"/>
  <c r="BM36" i="22"/>
  <c r="BN36" i="22"/>
  <c r="BO36" i="22"/>
  <c r="BP36" i="22"/>
  <c r="BQ36" i="22"/>
  <c r="BR36" i="22"/>
  <c r="BS36" i="22"/>
  <c r="BT36" i="22"/>
  <c r="BU36" i="22"/>
  <c r="BV36" i="22"/>
  <c r="BW36" i="22"/>
  <c r="BX36" i="22"/>
  <c r="BY36" i="22"/>
  <c r="BZ36" i="22"/>
  <c r="CA36" i="22"/>
  <c r="CB36" i="22"/>
  <c r="CC36" i="22"/>
  <c r="CD36" i="22"/>
  <c r="CE36" i="22"/>
  <c r="CF36" i="22"/>
  <c r="CG36" i="22"/>
  <c r="CH36" i="22"/>
  <c r="CI36" i="22"/>
  <c r="CJ36" i="22"/>
  <c r="CK36" i="22"/>
  <c r="CL36" i="22"/>
  <c r="CM36" i="22"/>
  <c r="CN36" i="22"/>
  <c r="CO36" i="22"/>
  <c r="CP36" i="22"/>
  <c r="CQ36" i="22"/>
  <c r="CR36" i="22"/>
  <c r="CS36" i="22"/>
  <c r="CT36" i="22"/>
  <c r="CU36" i="22"/>
  <c r="CV36" i="22"/>
  <c r="CW36" i="22"/>
  <c r="CX36" i="22"/>
  <c r="CY36" i="22"/>
  <c r="CZ36" i="22"/>
  <c r="DA36" i="22"/>
  <c r="DB36" i="22"/>
  <c r="DC36" i="22"/>
  <c r="DD36" i="22"/>
  <c r="DE36" i="22"/>
  <c r="DF36" i="22"/>
  <c r="DG36" i="22"/>
  <c r="DH36" i="22"/>
  <c r="DI36" i="22"/>
  <c r="DJ36" i="22"/>
  <c r="DK36" i="22"/>
  <c r="DL36" i="22"/>
  <c r="DM36" i="22"/>
  <c r="DN36" i="22"/>
  <c r="DO36" i="22"/>
  <c r="DP36" i="22"/>
  <c r="DQ36" i="22"/>
  <c r="DR36" i="22"/>
  <c r="DS36" i="22"/>
  <c r="B37" i="22"/>
  <c r="C37" i="22"/>
  <c r="D37" i="22"/>
  <c r="E37" i="22"/>
  <c r="F37" i="22"/>
  <c r="G37" i="22"/>
  <c r="H37" i="22"/>
  <c r="I37" i="22"/>
  <c r="J37" i="22"/>
  <c r="K37" i="22"/>
  <c r="L37" i="22"/>
  <c r="M37" i="22"/>
  <c r="N37" i="22"/>
  <c r="O37" i="22"/>
  <c r="P37" i="22"/>
  <c r="Q37" i="22"/>
  <c r="R37" i="22"/>
  <c r="S37" i="22"/>
  <c r="T37" i="22"/>
  <c r="U37" i="22"/>
  <c r="V37" i="22"/>
  <c r="W37" i="22"/>
  <c r="X37" i="22"/>
  <c r="Y37" i="22"/>
  <c r="Z37" i="22"/>
  <c r="AA37" i="22"/>
  <c r="AB37" i="22"/>
  <c r="AC37" i="22"/>
  <c r="AD37" i="22"/>
  <c r="AE37" i="22"/>
  <c r="AF37" i="22"/>
  <c r="AG37" i="22"/>
  <c r="AH37" i="22"/>
  <c r="AI37" i="22"/>
  <c r="AJ37" i="22"/>
  <c r="AK37" i="22"/>
  <c r="AL37" i="22"/>
  <c r="AM37" i="22"/>
  <c r="AN37" i="22"/>
  <c r="AO37" i="22"/>
  <c r="AP37" i="22"/>
  <c r="AQ37" i="22"/>
  <c r="AR37" i="22"/>
  <c r="AS37" i="22"/>
  <c r="AT37" i="22"/>
  <c r="AU37" i="22"/>
  <c r="AV37" i="22"/>
  <c r="AW37" i="22"/>
  <c r="AX37" i="22"/>
  <c r="AY37" i="22"/>
  <c r="AZ37" i="22"/>
  <c r="BA37" i="22"/>
  <c r="BB37" i="22"/>
  <c r="BC37" i="22"/>
  <c r="BD37" i="22"/>
  <c r="BE37" i="22"/>
  <c r="BF37" i="22"/>
  <c r="BG37" i="22"/>
  <c r="BH37" i="22"/>
  <c r="BI37" i="22"/>
  <c r="BJ37" i="22"/>
  <c r="BK37" i="22"/>
  <c r="BL37" i="22"/>
  <c r="BM37" i="22"/>
  <c r="BN37" i="22"/>
  <c r="BO37" i="22"/>
  <c r="BP37" i="22"/>
  <c r="BQ37" i="22"/>
  <c r="BR37" i="22"/>
  <c r="BS37" i="22"/>
  <c r="BT37" i="22"/>
  <c r="BU37" i="22"/>
  <c r="BV37" i="22"/>
  <c r="BW37" i="22"/>
  <c r="BX37" i="22"/>
  <c r="BY37" i="22"/>
  <c r="BZ37" i="22"/>
  <c r="CA37" i="22"/>
  <c r="CB37" i="22"/>
  <c r="CC37" i="22"/>
  <c r="CD37" i="22"/>
  <c r="CE37" i="22"/>
  <c r="CF37" i="22"/>
  <c r="CG37" i="22"/>
  <c r="CH37" i="22"/>
  <c r="CI37" i="22"/>
  <c r="CJ37" i="22"/>
  <c r="CK37" i="22"/>
  <c r="CL37" i="22"/>
  <c r="CM37" i="22"/>
  <c r="CN37" i="22"/>
  <c r="CO37" i="22"/>
  <c r="CP37" i="22"/>
  <c r="CQ37" i="22"/>
  <c r="CR37" i="22"/>
  <c r="CS37" i="22"/>
  <c r="CT37" i="22"/>
  <c r="CU37" i="22"/>
  <c r="CV37" i="22"/>
  <c r="CW37" i="22"/>
  <c r="CX37" i="22"/>
  <c r="CY37" i="22"/>
  <c r="CZ37" i="22"/>
  <c r="DA37" i="22"/>
  <c r="DB37" i="22"/>
  <c r="DC37" i="22"/>
  <c r="DD37" i="22"/>
  <c r="DE37" i="22"/>
  <c r="DF37" i="22"/>
  <c r="DG37" i="22"/>
  <c r="DH37" i="22"/>
  <c r="DI37" i="22"/>
  <c r="DJ37" i="22"/>
  <c r="DK37" i="22"/>
  <c r="DL37" i="22"/>
  <c r="DM37" i="22"/>
  <c r="DN37" i="22"/>
  <c r="DO37" i="22"/>
  <c r="DP37" i="22"/>
  <c r="DQ37" i="22"/>
  <c r="DR37" i="22"/>
  <c r="DS37" i="22"/>
  <c r="E2" i="21"/>
  <c r="E5" i="6"/>
  <c r="U3" i="20"/>
  <c r="U4" i="20"/>
  <c r="U5" i="20"/>
  <c r="U6" i="20"/>
  <c r="U7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U24" i="20"/>
  <c r="U25" i="20"/>
  <c r="U26" i="20"/>
  <c r="U27" i="20"/>
  <c r="U28" i="20"/>
  <c r="U29" i="20"/>
  <c r="U30" i="20"/>
  <c r="U31" i="20"/>
  <c r="U32" i="20"/>
  <c r="U33" i="20"/>
  <c r="U34" i="20"/>
  <c r="U35" i="20"/>
  <c r="U36" i="20"/>
  <c r="U37" i="20"/>
  <c r="U38" i="20"/>
  <c r="U39" i="20"/>
  <c r="U40" i="20"/>
  <c r="U41" i="20"/>
  <c r="U42" i="20"/>
  <c r="U43" i="20"/>
  <c r="U44" i="20"/>
  <c r="U45" i="20"/>
  <c r="U46" i="20"/>
  <c r="U47" i="20"/>
  <c r="U48" i="20"/>
  <c r="U49" i="20"/>
  <c r="U50" i="20"/>
  <c r="U51" i="20"/>
  <c r="U52" i="20"/>
  <c r="U53" i="20"/>
  <c r="U54" i="20"/>
  <c r="U55" i="20"/>
  <c r="U56" i="20"/>
  <c r="U57" i="20"/>
  <c r="U58" i="20"/>
  <c r="U59" i="20"/>
  <c r="U60" i="20"/>
  <c r="U61" i="20"/>
  <c r="U62" i="20"/>
  <c r="U63" i="20"/>
  <c r="U64" i="20"/>
  <c r="U65" i="20"/>
  <c r="U66" i="20"/>
  <c r="U67" i="20"/>
  <c r="U68" i="20"/>
  <c r="U69" i="20"/>
  <c r="U70" i="20"/>
  <c r="U71" i="20"/>
  <c r="U72" i="20"/>
  <c r="U73" i="20"/>
  <c r="U74" i="20"/>
  <c r="U75" i="20"/>
  <c r="U76" i="20"/>
  <c r="U77" i="20"/>
  <c r="U78" i="20"/>
  <c r="U79" i="20"/>
  <c r="U80" i="20"/>
  <c r="U81" i="20"/>
  <c r="U82" i="20"/>
  <c r="U83" i="20"/>
  <c r="U84" i="20"/>
  <c r="U85" i="20"/>
  <c r="U86" i="20"/>
  <c r="U87" i="20"/>
  <c r="U88" i="20"/>
  <c r="U89" i="20"/>
  <c r="U90" i="20"/>
  <c r="U91" i="20"/>
  <c r="U92" i="20"/>
  <c r="U93" i="20"/>
  <c r="U94" i="20"/>
  <c r="U95" i="20"/>
  <c r="U96" i="20"/>
  <c r="U97" i="20"/>
  <c r="U98" i="20"/>
  <c r="U99" i="20"/>
  <c r="U100" i="20"/>
  <c r="U101" i="20"/>
  <c r="U102" i="20"/>
  <c r="U103" i="20"/>
  <c r="U104" i="20"/>
  <c r="U105" i="20"/>
  <c r="U106" i="20"/>
  <c r="U107" i="20"/>
  <c r="U108" i="20"/>
  <c r="U109" i="20"/>
  <c r="U110" i="20"/>
  <c r="U111" i="20"/>
  <c r="U112" i="20"/>
  <c r="U113" i="20"/>
  <c r="U114" i="20"/>
  <c r="U115" i="20"/>
  <c r="U116" i="20"/>
  <c r="U117" i="20"/>
  <c r="U118" i="20"/>
  <c r="U119" i="20"/>
  <c r="U2" i="20"/>
  <c r="G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I119" i="20"/>
  <c r="I118" i="20"/>
  <c r="I117" i="20"/>
  <c r="I116" i="20"/>
  <c r="I115" i="20"/>
  <c r="I114" i="20"/>
  <c r="I113" i="20"/>
  <c r="I112" i="20"/>
  <c r="I111" i="20"/>
  <c r="I110" i="20"/>
  <c r="I109" i="20"/>
  <c r="I108" i="20"/>
  <c r="I107" i="20"/>
  <c r="I106" i="20"/>
  <c r="I105" i="20"/>
  <c r="I104" i="20"/>
  <c r="I103" i="20"/>
  <c r="I102" i="20"/>
  <c r="I101" i="20"/>
  <c r="I100" i="20"/>
  <c r="I99" i="20"/>
  <c r="I98" i="20"/>
  <c r="I97" i="20"/>
  <c r="I96" i="20"/>
  <c r="I95" i="20"/>
  <c r="I94" i="20"/>
  <c r="I93" i="20"/>
  <c r="I92" i="20"/>
  <c r="I91" i="20"/>
  <c r="I90" i="20"/>
  <c r="I89" i="20"/>
  <c r="I88" i="20"/>
  <c r="I87" i="20"/>
  <c r="I86" i="20"/>
  <c r="I85" i="20"/>
  <c r="I84" i="20"/>
  <c r="I83" i="20"/>
  <c r="I82" i="20"/>
  <c r="I81" i="20"/>
  <c r="I80" i="20"/>
  <c r="I79" i="20"/>
  <c r="I78" i="20"/>
  <c r="I77" i="20"/>
  <c r="I76" i="20"/>
  <c r="I75" i="20"/>
  <c r="I74" i="20"/>
  <c r="I73" i="20"/>
  <c r="I72" i="20"/>
  <c r="I71" i="20"/>
  <c r="I70" i="20"/>
  <c r="I69" i="20"/>
  <c r="I68" i="20"/>
  <c r="I67" i="20"/>
  <c r="I66" i="20"/>
  <c r="I65" i="20"/>
  <c r="I64" i="20"/>
  <c r="I63" i="20"/>
  <c r="I62" i="20"/>
  <c r="I61" i="20"/>
  <c r="I60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I4" i="20"/>
  <c r="I3" i="20"/>
  <c r="I2" i="20"/>
  <c r="E731" i="6"/>
  <c r="C731" i="6"/>
  <c r="E725" i="6"/>
  <c r="C725" i="6"/>
  <c r="E719" i="6"/>
  <c r="C719" i="6"/>
  <c r="E713" i="6"/>
  <c r="C713" i="6"/>
  <c r="E707" i="6"/>
  <c r="C707" i="6"/>
  <c r="E701" i="6"/>
  <c r="C701" i="6"/>
  <c r="E695" i="6"/>
  <c r="C695" i="6"/>
  <c r="E689" i="6"/>
  <c r="C689" i="6"/>
  <c r="E683" i="6"/>
  <c r="C683" i="6"/>
  <c r="E677" i="6"/>
  <c r="C677" i="6"/>
  <c r="E671" i="6"/>
  <c r="C671" i="6"/>
  <c r="E665" i="6"/>
  <c r="C665" i="6"/>
  <c r="E659" i="6"/>
  <c r="C659" i="6"/>
  <c r="E653" i="6"/>
  <c r="C653" i="6"/>
  <c r="E647" i="6"/>
  <c r="C647" i="6"/>
  <c r="E641" i="6"/>
  <c r="C641" i="6"/>
  <c r="E635" i="6"/>
  <c r="C635" i="6"/>
  <c r="E629" i="6"/>
  <c r="C629" i="6"/>
  <c r="E623" i="6"/>
  <c r="C623" i="6"/>
  <c r="E617" i="6"/>
  <c r="C617" i="6"/>
  <c r="E611" i="6"/>
  <c r="C611" i="6"/>
  <c r="E605" i="6"/>
  <c r="C605" i="6"/>
  <c r="E599" i="6"/>
  <c r="C599" i="6"/>
  <c r="E593" i="6"/>
  <c r="C593" i="6"/>
  <c r="E587" i="6"/>
  <c r="C587" i="6"/>
  <c r="E581" i="6"/>
  <c r="C581" i="6"/>
  <c r="E575" i="6"/>
  <c r="C575" i="6"/>
  <c r="E569" i="6"/>
  <c r="C569" i="6"/>
  <c r="E563" i="6"/>
  <c r="C563" i="6"/>
  <c r="E557" i="6"/>
  <c r="C557" i="6"/>
  <c r="E551" i="6"/>
  <c r="C551" i="6"/>
  <c r="E545" i="6"/>
  <c r="C545" i="6"/>
  <c r="E539" i="6"/>
  <c r="C539" i="6"/>
  <c r="E533" i="6"/>
  <c r="C533" i="6"/>
  <c r="E527" i="6"/>
  <c r="C527" i="6"/>
  <c r="E521" i="6"/>
  <c r="C521" i="6"/>
  <c r="E515" i="6"/>
  <c r="C515" i="6"/>
  <c r="E509" i="6"/>
  <c r="C509" i="6"/>
  <c r="E503" i="6"/>
  <c r="C503" i="6"/>
  <c r="E497" i="6"/>
  <c r="C497" i="6"/>
  <c r="E491" i="6"/>
  <c r="C491" i="6"/>
  <c r="E485" i="6"/>
  <c r="C485" i="6"/>
  <c r="E479" i="6"/>
  <c r="C479" i="6"/>
  <c r="E473" i="6"/>
  <c r="C473" i="6"/>
  <c r="E467" i="6"/>
  <c r="C467" i="6"/>
  <c r="E461" i="6"/>
  <c r="C461" i="6"/>
  <c r="E455" i="6"/>
  <c r="C455" i="6"/>
  <c r="E449" i="6"/>
  <c r="C449" i="6"/>
  <c r="E443" i="6"/>
  <c r="C443" i="6"/>
  <c r="E437" i="6"/>
  <c r="C437" i="6"/>
  <c r="E431" i="6"/>
  <c r="C431" i="6"/>
  <c r="E425" i="6"/>
  <c r="C425" i="6"/>
  <c r="E419" i="6"/>
  <c r="C419" i="6"/>
  <c r="E413" i="6"/>
  <c r="C413" i="6"/>
  <c r="E407" i="6"/>
  <c r="C407" i="6"/>
  <c r="E401" i="6"/>
  <c r="C401" i="6"/>
  <c r="E395" i="6"/>
  <c r="C395" i="6"/>
  <c r="E389" i="6"/>
  <c r="C389" i="6"/>
  <c r="E383" i="6"/>
  <c r="C383" i="6"/>
  <c r="E377" i="6"/>
  <c r="C377" i="6"/>
  <c r="E371" i="6"/>
  <c r="C371" i="6"/>
  <c r="E365" i="6"/>
  <c r="C365" i="6"/>
  <c r="E359" i="6"/>
  <c r="C359" i="6"/>
  <c r="E353" i="6"/>
  <c r="C353" i="6"/>
  <c r="E347" i="6"/>
  <c r="C347" i="6"/>
  <c r="E341" i="6"/>
  <c r="C341" i="6"/>
  <c r="E335" i="6"/>
  <c r="C335" i="6"/>
  <c r="E329" i="6"/>
  <c r="C329" i="6"/>
  <c r="E323" i="6"/>
  <c r="C323" i="6"/>
  <c r="E317" i="6"/>
  <c r="C317" i="6"/>
  <c r="E311" i="6"/>
  <c r="C311" i="6"/>
  <c r="E305" i="6"/>
  <c r="C305" i="6"/>
  <c r="E299" i="6"/>
  <c r="C299" i="6"/>
  <c r="E293" i="6"/>
  <c r="C293" i="6"/>
  <c r="E287" i="6"/>
  <c r="C287" i="6"/>
  <c r="E281" i="6"/>
  <c r="C281" i="6"/>
  <c r="E275" i="6"/>
  <c r="C275" i="6"/>
  <c r="E269" i="6"/>
  <c r="C269" i="6"/>
  <c r="E263" i="6"/>
  <c r="C263" i="6"/>
  <c r="E257" i="6"/>
  <c r="C257" i="6"/>
  <c r="E251" i="6"/>
  <c r="C251" i="6"/>
  <c r="E245" i="6"/>
  <c r="C245" i="6"/>
  <c r="E239" i="6"/>
  <c r="C239" i="6"/>
  <c r="E233" i="6"/>
  <c r="C233" i="6"/>
  <c r="E227" i="6"/>
  <c r="C227" i="6"/>
  <c r="E221" i="6"/>
  <c r="C221" i="6"/>
  <c r="E215" i="6"/>
  <c r="C215" i="6"/>
  <c r="E209" i="6"/>
  <c r="C209" i="6"/>
  <c r="E203" i="6"/>
  <c r="C203" i="6"/>
  <c r="E197" i="6"/>
  <c r="C197" i="6"/>
  <c r="E191" i="6"/>
  <c r="C191" i="6"/>
  <c r="E185" i="6"/>
  <c r="C185" i="6"/>
  <c r="E179" i="6"/>
  <c r="C179" i="6"/>
  <c r="E173" i="6"/>
  <c r="C173" i="6"/>
  <c r="E167" i="6"/>
  <c r="C167" i="6"/>
  <c r="E161" i="6"/>
  <c r="C161" i="6"/>
  <c r="E155" i="6"/>
  <c r="C155" i="6"/>
  <c r="E149" i="6"/>
  <c r="C149" i="6"/>
  <c r="E143" i="6"/>
  <c r="C143" i="6"/>
  <c r="E137" i="6"/>
  <c r="C137" i="6"/>
  <c r="E131" i="6"/>
  <c r="C131" i="6"/>
  <c r="E125" i="6"/>
  <c r="C125" i="6"/>
  <c r="E119" i="6"/>
  <c r="C119" i="6"/>
  <c r="E113" i="6"/>
  <c r="C113" i="6"/>
  <c r="E107" i="6"/>
  <c r="C107" i="6"/>
  <c r="E101" i="6"/>
  <c r="C101" i="6"/>
  <c r="E95" i="6"/>
  <c r="C95" i="6"/>
  <c r="E89" i="6"/>
  <c r="C89" i="6"/>
  <c r="E83" i="6"/>
  <c r="C83" i="6"/>
  <c r="E77" i="6"/>
  <c r="C77" i="6"/>
  <c r="E71" i="6"/>
  <c r="C71" i="6"/>
  <c r="E65" i="6"/>
  <c r="C65" i="6"/>
  <c r="E59" i="6"/>
  <c r="C59" i="6"/>
  <c r="E53" i="6"/>
  <c r="C53" i="6"/>
  <c r="E47" i="6"/>
  <c r="C47" i="6"/>
  <c r="E41" i="6"/>
  <c r="C41" i="6"/>
  <c r="E35" i="6"/>
  <c r="C35" i="6"/>
  <c r="E29" i="6"/>
  <c r="C29" i="6"/>
  <c r="E23" i="6"/>
  <c r="C23" i="6"/>
  <c r="E17" i="6"/>
  <c r="C17" i="6"/>
  <c r="E11" i="6"/>
  <c r="C11" i="6"/>
  <c r="C5" i="6"/>
  <c r="F2" i="21" l="1"/>
  <c r="J2" i="21" s="1"/>
  <c r="F112" i="21"/>
  <c r="J112" i="21" s="1"/>
  <c r="F109" i="21"/>
  <c r="J109" i="21" s="1"/>
  <c r="F3" i="21"/>
  <c r="J3" i="21" s="1"/>
  <c r="F4" i="21"/>
  <c r="J4" i="21" s="1"/>
  <c r="F5" i="21"/>
  <c r="J5" i="21" s="1"/>
  <c r="F6" i="21"/>
  <c r="J6" i="21" s="1"/>
  <c r="F7" i="21"/>
  <c r="J7" i="21" s="1"/>
  <c r="F8" i="21"/>
  <c r="J8" i="21" s="1"/>
  <c r="F9" i="21"/>
  <c r="J9" i="21" s="1"/>
  <c r="F10" i="21"/>
  <c r="J10" i="21" s="1"/>
  <c r="F11" i="21"/>
  <c r="J11" i="21" s="1"/>
  <c r="F12" i="21"/>
  <c r="J12" i="21" s="1"/>
  <c r="F13" i="21"/>
  <c r="J13" i="21" s="1"/>
  <c r="F14" i="21"/>
  <c r="J14" i="21" s="1"/>
  <c r="F15" i="21"/>
  <c r="J15" i="21" s="1"/>
  <c r="F16" i="21"/>
  <c r="J16" i="21" s="1"/>
  <c r="F17" i="21"/>
  <c r="J17" i="21" s="1"/>
  <c r="F18" i="21"/>
  <c r="J18" i="21" s="1"/>
  <c r="F19" i="21"/>
  <c r="J19" i="21" s="1"/>
  <c r="F20" i="21"/>
  <c r="J20" i="21" s="1"/>
  <c r="F21" i="21"/>
  <c r="J21" i="21" s="1"/>
  <c r="F22" i="21"/>
  <c r="J22" i="21" s="1"/>
  <c r="F23" i="21"/>
  <c r="J23" i="21" s="1"/>
  <c r="F24" i="21"/>
  <c r="J24" i="21" s="1"/>
  <c r="F25" i="21"/>
  <c r="J25" i="21" s="1"/>
  <c r="F26" i="21"/>
  <c r="J26" i="21" s="1"/>
  <c r="F27" i="21"/>
  <c r="J27" i="21" s="1"/>
  <c r="F28" i="21"/>
  <c r="J28" i="21" s="1"/>
  <c r="F29" i="21"/>
  <c r="J29" i="21" s="1"/>
  <c r="F30" i="21"/>
  <c r="J30" i="21" s="1"/>
  <c r="F31" i="21"/>
  <c r="J31" i="21" s="1"/>
  <c r="F32" i="21"/>
  <c r="J32" i="21" s="1"/>
  <c r="F33" i="21"/>
  <c r="J33" i="21" s="1"/>
  <c r="F34" i="21"/>
  <c r="J34" i="21" s="1"/>
  <c r="F35" i="21"/>
  <c r="J35" i="21" s="1"/>
  <c r="F36" i="21"/>
  <c r="J36" i="21" s="1"/>
  <c r="F37" i="21"/>
  <c r="J37" i="21" s="1"/>
  <c r="F38" i="21"/>
  <c r="J38" i="21" s="1"/>
  <c r="F39" i="21"/>
  <c r="J39" i="21" s="1"/>
  <c r="F40" i="21"/>
  <c r="J40" i="21" s="1"/>
  <c r="F41" i="21"/>
  <c r="J41" i="21" s="1"/>
  <c r="F42" i="21"/>
  <c r="J42" i="21" s="1"/>
  <c r="F43" i="21"/>
  <c r="J43" i="21" s="1"/>
  <c r="F44" i="21"/>
  <c r="J44" i="21" s="1"/>
  <c r="F45" i="21"/>
  <c r="J45" i="21" s="1"/>
  <c r="F46" i="21"/>
  <c r="J46" i="21" s="1"/>
  <c r="F47" i="21"/>
  <c r="J47" i="21" s="1"/>
  <c r="F48" i="21"/>
  <c r="J48" i="21" s="1"/>
  <c r="F49" i="21"/>
  <c r="J49" i="21" s="1"/>
  <c r="F50" i="21"/>
  <c r="J50" i="21" s="1"/>
  <c r="F51" i="21"/>
  <c r="J51" i="21" s="1"/>
  <c r="F52" i="21"/>
  <c r="J52" i="21" s="1"/>
  <c r="F53" i="21"/>
  <c r="J53" i="21" s="1"/>
  <c r="F54" i="21"/>
  <c r="J54" i="21" s="1"/>
  <c r="F55" i="21"/>
  <c r="J55" i="21" s="1"/>
  <c r="F56" i="21"/>
  <c r="J56" i="21" s="1"/>
  <c r="F57" i="21"/>
  <c r="J57" i="21" s="1"/>
  <c r="F58" i="21"/>
  <c r="J58" i="21" s="1"/>
  <c r="F59" i="21"/>
  <c r="J59" i="21" s="1"/>
  <c r="F60" i="21"/>
  <c r="J60" i="21" s="1"/>
  <c r="F61" i="21"/>
  <c r="J61" i="21" s="1"/>
  <c r="F62" i="21"/>
  <c r="J62" i="21" s="1"/>
  <c r="F63" i="21"/>
  <c r="J63" i="21" s="1"/>
  <c r="F64" i="21"/>
  <c r="J64" i="21" s="1"/>
  <c r="F65" i="21"/>
  <c r="J65" i="21" s="1"/>
  <c r="F66" i="21"/>
  <c r="J66" i="21" s="1"/>
  <c r="F67" i="21"/>
  <c r="J67" i="21" s="1"/>
  <c r="F68" i="21"/>
  <c r="J68" i="21" s="1"/>
  <c r="F69" i="21"/>
  <c r="J69" i="21" s="1"/>
  <c r="F70" i="21"/>
  <c r="J70" i="21" s="1"/>
  <c r="F71" i="21"/>
  <c r="J71" i="21" s="1"/>
  <c r="F72" i="21"/>
  <c r="J72" i="21" s="1"/>
  <c r="F73" i="21"/>
  <c r="J73" i="21" s="1"/>
  <c r="F74" i="21"/>
  <c r="J74" i="21" s="1"/>
  <c r="F75" i="21"/>
  <c r="J75" i="21" s="1"/>
  <c r="F76" i="21"/>
  <c r="J76" i="21" s="1"/>
  <c r="F77" i="21"/>
  <c r="J77" i="21" s="1"/>
  <c r="F78" i="21"/>
  <c r="J78" i="21" s="1"/>
  <c r="F79" i="21"/>
  <c r="J79" i="21" s="1"/>
  <c r="F80" i="21"/>
  <c r="J80" i="21" s="1"/>
  <c r="F81" i="21"/>
  <c r="J81" i="21" s="1"/>
  <c r="F82" i="21"/>
  <c r="J82" i="21" s="1"/>
  <c r="F83" i="21"/>
  <c r="J83" i="21" s="1"/>
  <c r="F84" i="21"/>
  <c r="J84" i="21" s="1"/>
  <c r="F85" i="21"/>
  <c r="J85" i="21" s="1"/>
  <c r="F86" i="21"/>
  <c r="J86" i="21" s="1"/>
  <c r="F87" i="21"/>
  <c r="J87" i="21" s="1"/>
  <c r="F88" i="21"/>
  <c r="J88" i="21" s="1"/>
  <c r="F89" i="21"/>
  <c r="J89" i="21" s="1"/>
  <c r="F90" i="21"/>
  <c r="J90" i="21" s="1"/>
  <c r="F91" i="21"/>
  <c r="J91" i="21" s="1"/>
  <c r="F92" i="21"/>
  <c r="J92" i="21" s="1"/>
  <c r="F93" i="21"/>
  <c r="J93" i="21" s="1"/>
  <c r="F94" i="21"/>
  <c r="J94" i="21" s="1"/>
  <c r="F95" i="21"/>
  <c r="J95" i="21" s="1"/>
  <c r="F96" i="21"/>
  <c r="J96" i="21" s="1"/>
  <c r="F97" i="21"/>
  <c r="J97" i="21" s="1"/>
  <c r="F98" i="21"/>
  <c r="J98" i="21" s="1"/>
  <c r="F99" i="21"/>
  <c r="J99" i="21" s="1"/>
  <c r="F100" i="21"/>
  <c r="J100" i="21" s="1"/>
  <c r="F101" i="21"/>
  <c r="J101" i="21" s="1"/>
  <c r="F102" i="21"/>
  <c r="J102" i="21" s="1"/>
  <c r="F103" i="21"/>
  <c r="J103" i="21" s="1"/>
  <c r="F104" i="21"/>
  <c r="J104" i="21" s="1"/>
  <c r="F105" i="21"/>
  <c r="J105" i="21" s="1"/>
  <c r="F106" i="21"/>
  <c r="J106" i="21" s="1"/>
  <c r="F107" i="21"/>
  <c r="J107" i="21" s="1"/>
  <c r="F108" i="21"/>
  <c r="J108" i="21" s="1"/>
  <c r="F110" i="21"/>
  <c r="J110" i="21" s="1"/>
  <c r="F111" i="21"/>
  <c r="J111" i="21" s="1"/>
  <c r="F113" i="21"/>
  <c r="J113" i="21" s="1"/>
  <c r="F114" i="21"/>
  <c r="J114" i="21" s="1"/>
  <c r="F115" i="21"/>
  <c r="J115" i="21" s="1"/>
  <c r="F116" i="21"/>
  <c r="J116" i="21" s="1"/>
  <c r="F117" i="21"/>
  <c r="J117" i="21" s="1"/>
  <c r="F118" i="21"/>
  <c r="J118" i="21" s="1"/>
  <c r="F119" i="21"/>
  <c r="J119" i="21" s="1"/>
  <c r="F120" i="21"/>
  <c r="J120" i="21" s="1"/>
  <c r="F121" i="21"/>
  <c r="J121" i="21" s="1"/>
  <c r="F122" i="21"/>
  <c r="J122" i="21" s="1"/>
  <c r="F123" i="21"/>
  <c r="J123" i="21" s="1"/>
  <c r="K109" i="21" l="1"/>
  <c r="K112" i="21"/>
  <c r="K8" i="21"/>
  <c r="K32" i="21"/>
  <c r="K14" i="21"/>
  <c r="K9" i="21"/>
  <c r="K7" i="21"/>
  <c r="K10" i="21"/>
  <c r="K2" i="21"/>
  <c r="K117" i="21"/>
  <c r="K116" i="21"/>
  <c r="K115" i="21"/>
  <c r="K114" i="21"/>
  <c r="K113" i="21"/>
  <c r="K111" i="21"/>
  <c r="K110" i="21"/>
  <c r="K108" i="21"/>
  <c r="K107" i="21"/>
  <c r="K106" i="21"/>
  <c r="K104" i="21"/>
  <c r="K103" i="21"/>
  <c r="K102" i="21"/>
  <c r="K101" i="21"/>
  <c r="K100" i="21"/>
  <c r="K99" i="21"/>
  <c r="K98" i="21"/>
  <c r="K97" i="21"/>
  <c r="K96" i="21"/>
  <c r="K95" i="21"/>
  <c r="K94" i="21"/>
  <c r="K93" i="21"/>
  <c r="K92" i="21"/>
  <c r="K91" i="21"/>
  <c r="K90" i="21"/>
  <c r="K89" i="21"/>
  <c r="K87" i="21"/>
  <c r="K86" i="21"/>
  <c r="K85" i="21"/>
  <c r="K84" i="21"/>
  <c r="K83" i="21"/>
  <c r="K82" i="21"/>
  <c r="K81" i="21"/>
  <c r="K80" i="21"/>
  <c r="K79" i="21"/>
  <c r="K78" i="21"/>
  <c r="K77" i="21"/>
  <c r="K76" i="21"/>
  <c r="K75" i="21"/>
  <c r="K74" i="21"/>
  <c r="K73" i="21"/>
  <c r="K71" i="21"/>
  <c r="K70" i="21"/>
  <c r="K69" i="21"/>
  <c r="K68" i="21"/>
  <c r="K67" i="21"/>
  <c r="K66" i="21"/>
  <c r="K65" i="21"/>
  <c r="K64" i="21"/>
  <c r="K63" i="21"/>
  <c r="K62" i="21"/>
  <c r="K61" i="21"/>
  <c r="K60" i="21"/>
  <c r="K59" i="21"/>
  <c r="K58" i="21"/>
  <c r="K57" i="21"/>
  <c r="K55" i="21"/>
  <c r="K54" i="21"/>
  <c r="K53" i="21"/>
  <c r="K52" i="21"/>
  <c r="K51" i="21"/>
  <c r="K50" i="21"/>
  <c r="K49" i="21"/>
  <c r="K48" i="21"/>
  <c r="K47" i="21"/>
  <c r="K46" i="21"/>
  <c r="K45" i="21"/>
  <c r="K44" i="21"/>
  <c r="K43" i="21"/>
  <c r="K42" i="21"/>
  <c r="K41" i="21"/>
  <c r="K40" i="21"/>
  <c r="K39" i="21"/>
  <c r="K38" i="21"/>
  <c r="K37" i="21"/>
  <c r="K36" i="21"/>
  <c r="K35" i="21"/>
  <c r="K34" i="21"/>
  <c r="K33" i="21"/>
  <c r="K105" i="21"/>
  <c r="K31" i="21"/>
  <c r="K30" i="21"/>
  <c r="K29" i="21"/>
  <c r="K26" i="21"/>
  <c r="K25" i="21"/>
  <c r="K23" i="21"/>
  <c r="K19" i="21"/>
  <c r="K16" i="21"/>
  <c r="K12" i="21"/>
  <c r="K121" i="21"/>
  <c r="K88" i="21"/>
  <c r="K27" i="21"/>
  <c r="K21" i="21"/>
  <c r="K120" i="21"/>
  <c r="K3" i="21"/>
  <c r="K72" i="21"/>
  <c r="K28" i="21"/>
  <c r="K24" i="21"/>
  <c r="K22" i="21"/>
  <c r="K20" i="21"/>
  <c r="K18" i="21"/>
  <c r="K17" i="21"/>
  <c r="K15" i="21"/>
  <c r="K13" i="21"/>
  <c r="K11" i="21"/>
  <c r="K119" i="21"/>
  <c r="K118" i="21"/>
  <c r="K6" i="21"/>
  <c r="K5" i="21"/>
  <c r="K4" i="21"/>
  <c r="K123" i="21"/>
  <c r="K56" i="21"/>
  <c r="K122" i="21"/>
</calcChain>
</file>

<file path=xl/sharedStrings.xml><?xml version="1.0" encoding="utf-8"?>
<sst xmlns="http://schemas.openxmlformats.org/spreadsheetml/2006/main" count="3708" uniqueCount="1943">
  <si>
    <t>Cluster</t>
  </si>
  <si>
    <t>O</t>
  </si>
  <si>
    <t>S</t>
  </si>
  <si>
    <t>S_norm</t>
  </si>
  <si>
    <t>[1,10]</t>
  </si>
  <si>
    <t>RPN</t>
  </si>
  <si>
    <t>Weight</t>
  </si>
  <si>
    <t>ES_1</t>
  </si>
  <si>
    <t>=</t>
  </si>
  <si>
    <t>ES_2</t>
  </si>
  <si>
    <t>ES_3</t>
  </si>
  <si>
    <t>ES_4</t>
  </si>
  <si>
    <t>ES_5</t>
  </si>
  <si>
    <t>ES_6</t>
  </si>
  <si>
    <t>ES_7</t>
  </si>
  <si>
    <t>ES_8</t>
  </si>
  <si>
    <t>ES_9</t>
  </si>
  <si>
    <t>ES_10</t>
  </si>
  <si>
    <t>ES_11</t>
  </si>
  <si>
    <t>ES_12</t>
  </si>
  <si>
    <t>ES_13</t>
  </si>
  <si>
    <t>ES_14</t>
  </si>
  <si>
    <t>ES_15</t>
  </si>
  <si>
    <t>ES_16</t>
  </si>
  <si>
    <t>ES_17</t>
  </si>
  <si>
    <t>ES_18</t>
  </si>
  <si>
    <t>ES_19</t>
  </si>
  <si>
    <t>ES_20</t>
  </si>
  <si>
    <t>ES_21</t>
  </si>
  <si>
    <t>ES_22</t>
  </si>
  <si>
    <t>ES_23</t>
  </si>
  <si>
    <t>ES_24</t>
  </si>
  <si>
    <t>ES_25</t>
  </si>
  <si>
    <t>ES_26</t>
  </si>
  <si>
    <t>ES_27</t>
  </si>
  <si>
    <t>ES_28</t>
  </si>
  <si>
    <t>ES_29</t>
  </si>
  <si>
    <t>ES_30</t>
  </si>
  <si>
    <t>ES_31</t>
  </si>
  <si>
    <t>ES_32</t>
  </si>
  <si>
    <t>ES_33</t>
  </si>
  <si>
    <t>ES_34</t>
  </si>
  <si>
    <t>ES_35</t>
  </si>
  <si>
    <t>ES_36</t>
  </si>
  <si>
    <t>ES_37</t>
  </si>
  <si>
    <t>ES_38</t>
  </si>
  <si>
    <t>ES_39</t>
  </si>
  <si>
    <t>ES_40</t>
  </si>
  <si>
    <t>ES_41</t>
  </si>
  <si>
    <t>ES_42</t>
  </si>
  <si>
    <t>ES_43</t>
  </si>
  <si>
    <t>ES_44</t>
  </si>
  <si>
    <t>ES_45</t>
  </si>
  <si>
    <t>ES_46</t>
  </si>
  <si>
    <t>ES_47</t>
  </si>
  <si>
    <t>ES_48</t>
  </si>
  <si>
    <t>ES_49</t>
  </si>
  <si>
    <t>ES_50</t>
  </si>
  <si>
    <t>ES_51</t>
  </si>
  <si>
    <t>ES_52</t>
  </si>
  <si>
    <t>ES_53</t>
  </si>
  <si>
    <t>ES_54</t>
  </si>
  <si>
    <t>ES_55</t>
  </si>
  <si>
    <t>ES_56</t>
  </si>
  <si>
    <t>ES_57</t>
  </si>
  <si>
    <t>ES_58</t>
  </si>
  <si>
    <t>ES_59</t>
  </si>
  <si>
    <t>ES_60</t>
  </si>
  <si>
    <t>ES_61</t>
  </si>
  <si>
    <t>ES_62</t>
  </si>
  <si>
    <t>ES_63</t>
  </si>
  <si>
    <t>ES_64</t>
  </si>
  <si>
    <t>ES_65</t>
  </si>
  <si>
    <t>ES_66</t>
  </si>
  <si>
    <t>ES_67</t>
  </si>
  <si>
    <t>ES_68</t>
  </si>
  <si>
    <t>ES_69</t>
  </si>
  <si>
    <t>ES_70</t>
  </si>
  <si>
    <t>ES_71</t>
  </si>
  <si>
    <t>ES_72</t>
  </si>
  <si>
    <t>ES_73</t>
  </si>
  <si>
    <t>ES_74</t>
  </si>
  <si>
    <t>ES_75</t>
  </si>
  <si>
    <t>ES_76</t>
  </si>
  <si>
    <t>ES_77</t>
  </si>
  <si>
    <t>ES_78</t>
  </si>
  <si>
    <t>ES_79</t>
  </si>
  <si>
    <t>ES_80</t>
  </si>
  <si>
    <t>ES_81</t>
  </si>
  <si>
    <t>ES_82</t>
  </si>
  <si>
    <t>ES_83</t>
  </si>
  <si>
    <t>ES_84</t>
  </si>
  <si>
    <t>ES_85</t>
  </si>
  <si>
    <t>ES_86</t>
  </si>
  <si>
    <t>ES_87</t>
  </si>
  <si>
    <t>ES_88</t>
  </si>
  <si>
    <t>ES_89</t>
  </si>
  <si>
    <t>ES_90</t>
  </si>
  <si>
    <t>ES_91</t>
  </si>
  <si>
    <t>ES_92</t>
  </si>
  <si>
    <t>ES_93</t>
  </si>
  <si>
    <t>ES_94</t>
  </si>
  <si>
    <t>ES_95</t>
  </si>
  <si>
    <t>ES_96</t>
  </si>
  <si>
    <t>ES_97</t>
  </si>
  <si>
    <t>ES_98</t>
  </si>
  <si>
    <t>ES_99</t>
  </si>
  <si>
    <t>ES_100</t>
  </si>
  <si>
    <t>ES_101</t>
  </si>
  <si>
    <t>ES_102</t>
  </si>
  <si>
    <t>ES_103</t>
  </si>
  <si>
    <t>ES_104</t>
  </si>
  <si>
    <t>ES_105</t>
  </si>
  <si>
    <t>ES_106</t>
  </si>
  <si>
    <t>ES_107</t>
  </si>
  <si>
    <t>ES_108</t>
  </si>
  <si>
    <t>ES_109</t>
  </si>
  <si>
    <t>ES_110</t>
  </si>
  <si>
    <t>ES_111</t>
  </si>
  <si>
    <t>ES_112</t>
  </si>
  <si>
    <t>ES_113</t>
  </si>
  <si>
    <t>ES_114</t>
  </si>
  <si>
    <t>ES_115</t>
  </si>
  <si>
    <t>ES_116</t>
  </si>
  <si>
    <t>ES_117</t>
  </si>
  <si>
    <t>ES_118</t>
  </si>
  <si>
    <t>ES_119</t>
  </si>
  <si>
    <t>ES_120</t>
  </si>
  <si>
    <t>ES_121</t>
  </si>
  <si>
    <t>ES_122</t>
  </si>
  <si>
    <t>好评提升率</t>
  </si>
  <si>
    <t>预防性成本</t>
  </si>
  <si>
    <t>差评下降率</t>
  </si>
  <si>
    <t>维护性成本</t>
  </si>
  <si>
    <t>Feature 1:</t>
  </si>
  <si>
    <t>α</t>
  </si>
  <si>
    <t>β</t>
  </si>
  <si>
    <t>h</t>
  </si>
  <si>
    <t>MSE</t>
  </si>
  <si>
    <t>Feature 2:</t>
  </si>
  <si>
    <t>Feature 3:</t>
  </si>
  <si>
    <t>Feature 4:</t>
  </si>
  <si>
    <t>Feature 5:</t>
  </si>
  <si>
    <t>Feature 6:</t>
  </si>
  <si>
    <t>Feature 7:</t>
  </si>
  <si>
    <t>Feature 8:</t>
  </si>
  <si>
    <t>Feature 9:</t>
  </si>
  <si>
    <t>Feature 10:</t>
  </si>
  <si>
    <t>Feature 11:</t>
  </si>
  <si>
    <t>Feature 12:</t>
  </si>
  <si>
    <t>Feature 13:</t>
  </si>
  <si>
    <t>Feature 14:</t>
  </si>
  <si>
    <t>Feature 15:</t>
  </si>
  <si>
    <t>Feature 16:</t>
  </si>
  <si>
    <t>Feature 17:</t>
  </si>
  <si>
    <t>Feature 18:</t>
  </si>
  <si>
    <t>Feature 19:</t>
  </si>
  <si>
    <t>Feature 20:</t>
  </si>
  <si>
    <t>Feature 21:</t>
  </si>
  <si>
    <t>Feature 22:</t>
  </si>
  <si>
    <t>Feature 23:</t>
  </si>
  <si>
    <t>Feature 24:</t>
  </si>
  <si>
    <t>Feature 25:</t>
  </si>
  <si>
    <t>Feature 26:</t>
  </si>
  <si>
    <t>Feature 27:</t>
  </si>
  <si>
    <t>Feature 28:</t>
  </si>
  <si>
    <t>Feature 29:</t>
  </si>
  <si>
    <t>Feature 30:</t>
  </si>
  <si>
    <t>Feature 31:</t>
  </si>
  <si>
    <t>Feature 32:</t>
  </si>
  <si>
    <t>Feature 33:</t>
  </si>
  <si>
    <t>Feature 34:</t>
  </si>
  <si>
    <t>Feature 35:</t>
  </si>
  <si>
    <t>Feature 36:</t>
  </si>
  <si>
    <t>Feature 37:</t>
  </si>
  <si>
    <t>Feature 38:</t>
  </si>
  <si>
    <t>Feature 39:</t>
  </si>
  <si>
    <t>Feature 40:</t>
  </si>
  <si>
    <t>Feature 41:</t>
  </si>
  <si>
    <t>Feature 42:</t>
  </si>
  <si>
    <t>Feature 43:</t>
  </si>
  <si>
    <t>Feature 44:</t>
  </si>
  <si>
    <t>Feature 45:</t>
  </si>
  <si>
    <t>Feature 46:</t>
  </si>
  <si>
    <t>Feature 47:</t>
  </si>
  <si>
    <t>Feature 48:</t>
  </si>
  <si>
    <t>Feature 49:</t>
  </si>
  <si>
    <t>Feature 50:</t>
  </si>
  <si>
    <t>Feature 51:</t>
  </si>
  <si>
    <t>Feature 52:</t>
  </si>
  <si>
    <t>Feature 53:</t>
  </si>
  <si>
    <t>Feature 54:</t>
  </si>
  <si>
    <t>Feature 55:</t>
  </si>
  <si>
    <t>Feature 56:</t>
  </si>
  <si>
    <t>Feature 57:</t>
  </si>
  <si>
    <t>Feature 58:</t>
  </si>
  <si>
    <t>Feature 59:</t>
  </si>
  <si>
    <t>Feature 60:</t>
  </si>
  <si>
    <t>Feature 61:</t>
  </si>
  <si>
    <t>Feature 62:</t>
  </si>
  <si>
    <t>Feature 63:</t>
  </si>
  <si>
    <t>Feature 64:</t>
  </si>
  <si>
    <t>Feature 65:</t>
  </si>
  <si>
    <t>Feature 66:</t>
  </si>
  <si>
    <t>Feature 67:</t>
  </si>
  <si>
    <t>Feature 68:</t>
  </si>
  <si>
    <t>Feature 69:</t>
  </si>
  <si>
    <t>Feature 70:</t>
  </si>
  <si>
    <t>Feature 71:</t>
  </si>
  <si>
    <t>Feature 72:</t>
  </si>
  <si>
    <t>Feature 73:</t>
  </si>
  <si>
    <t>Feature 74:</t>
  </si>
  <si>
    <t>Feature 75:</t>
  </si>
  <si>
    <t>Feature 76:</t>
  </si>
  <si>
    <t>Feature 77:</t>
  </si>
  <si>
    <t>Feature 78:</t>
  </si>
  <si>
    <t>Feature 79:</t>
  </si>
  <si>
    <t>Feature 80:</t>
  </si>
  <si>
    <t>Feature 81:</t>
  </si>
  <si>
    <t>Feature 82:</t>
  </si>
  <si>
    <t>Feature 83:</t>
  </si>
  <si>
    <t>Feature 84:</t>
  </si>
  <si>
    <t>Feature 85:</t>
  </si>
  <si>
    <t>Feature 86:</t>
  </si>
  <si>
    <t>Feature 87:</t>
  </si>
  <si>
    <t>Feature 88:</t>
  </si>
  <si>
    <t>Feature 89:</t>
  </si>
  <si>
    <t>Feature 90:</t>
  </si>
  <si>
    <t>Feature 91:</t>
  </si>
  <si>
    <t>Feature 92:</t>
  </si>
  <si>
    <t>Feature 93:</t>
  </si>
  <si>
    <t>Feature 94:</t>
  </si>
  <si>
    <t>Feature 95:</t>
  </si>
  <si>
    <t>Feature 96:</t>
  </si>
  <si>
    <t>Feature 97:</t>
  </si>
  <si>
    <t>Feature 98:</t>
  </si>
  <si>
    <t>Feature 99:</t>
  </si>
  <si>
    <t>Feature 100:</t>
  </si>
  <si>
    <t>Feature 101:</t>
  </si>
  <si>
    <t>Feature 102:</t>
  </si>
  <si>
    <t>Feature 103:</t>
  </si>
  <si>
    <t>Feature 104:</t>
  </si>
  <si>
    <t>Feature 105:</t>
  </si>
  <si>
    <t>Feature 106:</t>
  </si>
  <si>
    <t>Feature 107:</t>
  </si>
  <si>
    <t>Feature 108:</t>
  </si>
  <si>
    <t>Feature 109:</t>
  </si>
  <si>
    <t>Feature 110:</t>
  </si>
  <si>
    <t>Feature 111:</t>
  </si>
  <si>
    <t>Feature 112:</t>
  </si>
  <si>
    <t>Feature 113:</t>
  </si>
  <si>
    <t>Feature 114:</t>
  </si>
  <si>
    <t>Feature 115:</t>
  </si>
  <si>
    <t>Feature 116:</t>
  </si>
  <si>
    <t>Feature 117:</t>
  </si>
  <si>
    <t>Feature 118:</t>
  </si>
  <si>
    <t>Feature 119:</t>
  </si>
  <si>
    <t>Feature 120:</t>
  </si>
  <si>
    <t>Feature 121:</t>
  </si>
  <si>
    <t>Feature 122:</t>
  </si>
  <si>
    <t>Sub_Issue</t>
  </si>
  <si>
    <t>ES</t>
  </si>
  <si>
    <t>Tau_Hat_Mean</t>
  </si>
  <si>
    <t>AME_SE</t>
  </si>
  <si>
    <t>Per_focus</t>
  </si>
  <si>
    <t>Per_market</t>
  </si>
  <si>
    <t>Per_gap</t>
  </si>
  <si>
    <t>Zone</t>
  </si>
  <si>
    <t>knot</t>
  </si>
  <si>
    <t>a</t>
  </si>
  <si>
    <t>b</t>
  </si>
  <si>
    <t>c</t>
  </si>
  <si>
    <t>accessibility and usability of toiletries</t>
  </si>
  <si>
    <t>Must-be</t>
  </si>
  <si>
    <t>unreliable lift performance</t>
  </si>
  <si>
    <t>no elevator or long waiting time</t>
  </si>
  <si>
    <t>washing machine failure and hygiene issues</t>
  </si>
  <si>
    <t>aesthetic and design elements</t>
  </si>
  <si>
    <t>air conditioning system failure</t>
  </si>
  <si>
    <t>apartment infrastructure maintenance (painting, repairs, and general upkeep)</t>
  </si>
  <si>
    <t>improper door lock operation</t>
  </si>
  <si>
    <t>host communication and professionalism</t>
  </si>
  <si>
    <t>housekeeping performance</t>
  </si>
  <si>
    <t>atmosphere and vibe</t>
  </si>
  <si>
    <t>availability and functionality of sockets/connections</t>
  </si>
  <si>
    <t>availability of pool and spa</t>
  </si>
  <si>
    <t>balcony accessibility and functionality</t>
  </si>
  <si>
    <t>bar atmosphere and accessibility</t>
  </si>
  <si>
    <t>bathroom infrastructure condition (draining, cleanliness, and maintenance)</t>
  </si>
  <si>
    <t>bathroom sound issue</t>
  </si>
  <si>
    <t>bathroom space and layout</t>
  </si>
  <si>
    <t>bathtub and bath plug installation</t>
  </si>
  <si>
    <t>cleanliness of curtains and windows</t>
  </si>
  <si>
    <t>breakfast quality and accessibility</t>
  </si>
  <si>
    <t>linear</t>
  </si>
  <si>
    <t>building appearance</t>
  </si>
  <si>
    <t>visual representation content misalignment</t>
  </si>
  <si>
    <t>check-in process efficiency</t>
  </si>
  <si>
    <t>inadequate staff availability</t>
  </si>
  <si>
    <t>check-in/out time and availability</t>
  </si>
  <si>
    <t>cleanliness of commen areas</t>
  </si>
  <si>
    <t>dirt and stains on floors and surfaces</t>
  </si>
  <si>
    <t>cleanliness of beddings</t>
  </si>
  <si>
    <t>cleanliness of furniture and fittings</t>
  </si>
  <si>
    <t>cleanliness of kitchen area</t>
  </si>
  <si>
    <t>cleanliness of tableware</t>
  </si>
  <si>
    <t>food availability</t>
  </si>
  <si>
    <t>comfort of bed</t>
  </si>
  <si>
    <t>comfort of seating and bedding</t>
  </si>
  <si>
    <t>noise disturbance from public areas</t>
  </si>
  <si>
    <t>convenience of access to the parking area</t>
  </si>
  <si>
    <t>customer service quality</t>
  </si>
  <si>
    <t>dated furniture and fittings</t>
  </si>
  <si>
    <t>room service and food delivery</t>
  </si>
  <si>
    <t>deposit refund</t>
  </si>
  <si>
    <t>dirty towels</t>
  </si>
  <si>
    <t>dishwasher malfunction</t>
  </si>
  <si>
    <t>drinking water supply</t>
  </si>
  <si>
    <t>electrical appliances and outlet related issues (supply, condition and location)</t>
  </si>
  <si>
    <t>external noise</t>
  </si>
  <si>
    <t>food price</t>
  </si>
  <si>
    <t>food quality at cafe</t>
  </si>
  <si>
    <t>food variety</t>
  </si>
  <si>
    <t>fridge malfunctioning</t>
  </si>
  <si>
    <t>friendly and helpful staff interactions</t>
  </si>
  <si>
    <t>overall location quality</t>
  </si>
  <si>
    <t>room cleaning performance</t>
  </si>
  <si>
    <t>cleanliness of balcony</t>
  </si>
  <si>
    <t>gym equipment and space</t>
  </si>
  <si>
    <t>hotplate non-operation</t>
  </si>
  <si>
    <t>inadequate airflow and fresh air supply</t>
  </si>
  <si>
    <t>inadequate hotel access control and lighting</t>
  </si>
  <si>
    <t>inadequate luggage assistance</t>
  </si>
  <si>
    <t>inadequate temperature control</t>
  </si>
  <si>
    <t>inconvenient access to location</t>
  </si>
  <si>
    <t>ineffective customer engagement</t>
  </si>
  <si>
    <t>information provided during booking</t>
  </si>
  <si>
    <t>inoperable or difficult-to-operate tv</t>
  </si>
  <si>
    <t>insufficient food supply</t>
  </si>
  <si>
    <t>insufficient lighting in rooms</t>
  </si>
  <si>
    <t>insufficient parking spaces</t>
  </si>
  <si>
    <t>insufficient towel or bedding supply</t>
  </si>
  <si>
    <t>kitchen equipment configuration</t>
  </si>
  <si>
    <t>kitchen space</t>
  </si>
  <si>
    <t>limited tv content access</t>
  </si>
  <si>
    <t>maintenance of furniture and facilities</t>
  </si>
  <si>
    <t>manager's unprofessional interactions</t>
  </si>
  <si>
    <t>meal quality disparity</t>
  </si>
  <si>
    <t>mould and and cleanliness of shower area</t>
  </si>
  <si>
    <t>network connectivity issues in rooms</t>
  </si>
  <si>
    <t>noise from room amenities</t>
  </si>
  <si>
    <t>overall cleanliness</t>
  </si>
  <si>
    <t>parking availability</t>
  </si>
  <si>
    <t>parking fee perception</t>
  </si>
  <si>
    <t>pool water temperature and quality</t>
  </si>
  <si>
    <t>poor lighting in rooms</t>
  </si>
  <si>
    <t>price-perception mismatch</t>
  </si>
  <si>
    <t>privacy concern</t>
  </si>
  <si>
    <t>provision of amenities in rooms</t>
  </si>
  <si>
    <t>proximity to amenities and services</t>
  </si>
  <si>
    <t>public area appearance and maintenance</t>
  </si>
  <si>
    <t>public areas experience (pool, jacuzzi, garden, rooftop)</t>
  </si>
  <si>
    <t>quality and maintenance of furniture and facilities</t>
  </si>
  <si>
    <t>quantity and quality of tableware</t>
  </si>
  <si>
    <t>quietness of room</t>
  </si>
  <si>
    <t>receptionist responsiveness and efficiency</t>
  </si>
  <si>
    <t>receptionist's attitude and communication</t>
  </si>
  <si>
    <t>rooftop unavailability and visibility issues</t>
  </si>
  <si>
    <t>room comfort and environment quality</t>
  </si>
  <si>
    <t>room decor</t>
  </si>
  <si>
    <t>view from room</t>
  </si>
  <si>
    <t>room layout and configuration</t>
  </si>
  <si>
    <t>room not ready</t>
  </si>
  <si>
    <t>room size</t>
  </si>
  <si>
    <t>room upgrades</t>
  </si>
  <si>
    <t>safety concerns</t>
  </si>
  <si>
    <t>safety design of furniture and facilities</t>
  </si>
  <si>
    <t>sauna quality</t>
  </si>
  <si>
    <t>secure parking</t>
  </si>
  <si>
    <t>shower water temperature and water pressure</t>
  </si>
  <si>
    <t>signage and instruction</t>
  </si>
  <si>
    <t>sleep quality</t>
  </si>
  <si>
    <t>specific room type avaliable</t>
  </si>
  <si>
    <t>staff behavior and attitude</t>
  </si>
  <si>
    <t>staff presentation and attitude</t>
  </si>
  <si>
    <t>supply and quality of bathing products</t>
  </si>
  <si>
    <t>supply and quality of cleaning tools</t>
  </si>
  <si>
    <t>toilet cleanliness</t>
  </si>
  <si>
    <t>unclean pool</t>
  </si>
  <si>
    <t>unexpected increase in total cost for stay</t>
  </si>
  <si>
    <t>unpleasant odors in apartment</t>
  </si>
  <si>
    <t>value perception of accommodation quality</t>
  </si>
  <si>
    <t>water leakage from shower</t>
  </si>
  <si>
    <t>Per_1</t>
  </si>
  <si>
    <t>Per_2</t>
  </si>
  <si>
    <t>Per_3</t>
  </si>
  <si>
    <t>Per_4</t>
  </si>
  <si>
    <t>Per_5</t>
  </si>
  <si>
    <t>Per_6</t>
  </si>
  <si>
    <t>Per_7</t>
  </si>
  <si>
    <t>Per_8</t>
  </si>
  <si>
    <t>Per_9</t>
  </si>
  <si>
    <t>Per_10</t>
  </si>
  <si>
    <t>Per_11</t>
  </si>
  <si>
    <t>Per_12</t>
  </si>
  <si>
    <t>Per_13</t>
  </si>
  <si>
    <t>Per_14</t>
  </si>
  <si>
    <t>Per_15</t>
  </si>
  <si>
    <t>Per_16</t>
  </si>
  <si>
    <t>Per_17</t>
  </si>
  <si>
    <t>Eff_1</t>
  </si>
  <si>
    <t>Eff_2</t>
  </si>
  <si>
    <t>Eff_3</t>
  </si>
  <si>
    <t>Eff_4</t>
  </si>
  <si>
    <t>Eff_5</t>
  </si>
  <si>
    <t>Eff_6</t>
  </si>
  <si>
    <t>Eff_7</t>
  </si>
  <si>
    <t>Eff_8</t>
  </si>
  <si>
    <t>Eff_9</t>
  </si>
  <si>
    <t>Eff_10</t>
  </si>
  <si>
    <t>Eff_11</t>
  </si>
  <si>
    <t>Eff_12</t>
  </si>
  <si>
    <t>Eff_13</t>
  </si>
  <si>
    <t>Eff_14</t>
  </si>
  <si>
    <t>Eff_15</t>
  </si>
  <si>
    <t>Eff_16</t>
  </si>
  <si>
    <t>Eff_17</t>
  </si>
  <si>
    <t>Per_market_1</t>
  </si>
  <si>
    <t>Per_market_2</t>
  </si>
  <si>
    <t>Per_market_3</t>
  </si>
  <si>
    <t>Per_market_4</t>
  </si>
  <si>
    <t>Per_market_5</t>
  </si>
  <si>
    <t>Per_market_6</t>
  </si>
  <si>
    <t>Per_market_7</t>
  </si>
  <si>
    <t>Per_market_8</t>
  </si>
  <si>
    <t>Per_market_9</t>
  </si>
  <si>
    <t>Per_market_10</t>
  </si>
  <si>
    <t>Per_market_11</t>
  </si>
  <si>
    <t>Per_market_12</t>
  </si>
  <si>
    <t>Per_market_13</t>
  </si>
  <si>
    <t>Per_market_14</t>
  </si>
  <si>
    <t>Per_market_15</t>
  </si>
  <si>
    <t>Per_market_16</t>
  </si>
  <si>
    <t>Per_market_17</t>
  </si>
  <si>
    <t>pareto</t>
  </si>
  <si>
    <t>broken or non-functional communication equipment</t>
    <phoneticPr fontId="16" type="noConversion"/>
  </si>
  <si>
    <t>check-in/out time and availability</t>
    <phoneticPr fontId="16" type="noConversion"/>
  </si>
  <si>
    <t>availability and functionality of sockets/connections</t>
    <phoneticPr fontId="16" type="noConversion"/>
  </si>
  <si>
    <t>toilet cleanliness</t>
    <phoneticPr fontId="16" type="noConversion"/>
  </si>
  <si>
    <t>availability of pool and spa</t>
    <phoneticPr fontId="16" type="noConversion"/>
  </si>
  <si>
    <t>unreliable lift performance</t>
    <phoneticPr fontId="16" type="noConversion"/>
  </si>
  <si>
    <t>no elevator or long waiting time</t>
    <phoneticPr fontId="16" type="noConversion"/>
  </si>
  <si>
    <t>air conditioning system failure</t>
    <phoneticPr fontId="16" type="noConversion"/>
  </si>
  <si>
    <t>apartment infrastructure maintenance (painting, repairs, and general upkeep)</t>
    <phoneticPr fontId="16" type="noConversion"/>
  </si>
  <si>
    <t>balcony accessibility and functionality</t>
    <phoneticPr fontId="16" type="noConversion"/>
  </si>
  <si>
    <t>global_tau_relative_error</t>
  </si>
  <si>
    <t>Attractive</t>
  </si>
  <si>
    <t>type</t>
    <phoneticPr fontId="16" type="noConversion"/>
  </si>
  <si>
    <t>Detection_difficulty</t>
  </si>
  <si>
    <t>O_norm(LOG)</t>
    <phoneticPr fontId="16" type="noConversion"/>
  </si>
  <si>
    <t>log(1+1000*O/N)</t>
    <phoneticPr fontId="16" type="noConversion"/>
  </si>
  <si>
    <t>Imp</t>
    <phoneticPr fontId="16" type="noConversion"/>
  </si>
  <si>
    <t>Priority</t>
  </si>
  <si>
    <t>aesthetic and design elements</t>
    <phoneticPr fontId="16" type="noConversion"/>
  </si>
  <si>
    <t>quality and maintenance of furniture and facilities</t>
    <phoneticPr fontId="16" type="noConversion"/>
  </si>
  <si>
    <t>broken or non-functional communication equipment</t>
    <phoneticPr fontId="16" type="noConversion"/>
  </si>
  <si>
    <t>meal quality disparity</t>
    <phoneticPr fontId="16" type="noConversion"/>
  </si>
  <si>
    <t>bar atmosphere and accessibility</t>
    <phoneticPr fontId="16" type="noConversion"/>
  </si>
  <si>
    <t>improper door lock operation</t>
    <phoneticPr fontId="16" type="noConversion"/>
  </si>
  <si>
    <t>visual representation content misalignment</t>
    <phoneticPr fontId="16" type="noConversion"/>
  </si>
  <si>
    <t>cleanliness of kitchen area</t>
    <phoneticPr fontId="16" type="noConversion"/>
  </si>
  <si>
    <t>target_score</t>
    <phoneticPr fontId="16" type="noConversion"/>
  </si>
  <si>
    <t>convenience of access to the parking area</t>
    <phoneticPr fontId="16" type="noConversion"/>
  </si>
  <si>
    <t>inadequate hotel access control and lighting</t>
    <phoneticPr fontId="16" type="noConversion"/>
  </si>
  <si>
    <t>maintenance of furniture and facilities</t>
    <phoneticPr fontId="16" type="noConversion"/>
  </si>
  <si>
    <t>quantity and quality of tableware</t>
    <phoneticPr fontId="16" type="noConversion"/>
  </si>
  <si>
    <t>rooftop unavailability and visibility issues</t>
    <phoneticPr fontId="16" type="noConversion"/>
  </si>
  <si>
    <t>bathtub and bath plug installation</t>
    <phoneticPr fontId="16" type="noConversion"/>
  </si>
  <si>
    <t>specific room type avaliable</t>
    <phoneticPr fontId="16" type="noConversion"/>
  </si>
  <si>
    <t>Eff</t>
    <phoneticPr fontId="16" type="noConversion"/>
  </si>
  <si>
    <t>0.002370666947634601</t>
  </si>
  <si>
    <t>0.009061215888736698</t>
  </si>
  <si>
    <t>0.004899378358444843</t>
  </si>
  <si>
    <t>0.002001896533558108</t>
  </si>
  <si>
    <t>0.0005794963649773469</t>
  </si>
  <si>
    <t>0.0012116742176799073</t>
  </si>
  <si>
    <t>0.00021072595090085343</t>
  </si>
  <si>
    <t>0.0014224001685807608</t>
  </si>
  <si>
    <t>0.00658518596565167</t>
  </si>
  <si>
    <t>0.0006848593404277737</t>
  </si>
  <si>
    <t>0.001475081656305974</t>
  </si>
  <si>
    <t>0.0012643557054051206</t>
  </si>
  <si>
    <t>0.005268148772521336</t>
  </si>
  <si>
    <t>0.0002634074386260668</t>
  </si>
  <si>
    <t>0.000737540828152987</t>
  </si>
  <si>
    <t>0.0004741333895269202</t>
  </si>
  <si>
    <t>0.001000948266779054</t>
  </si>
  <si>
    <t>0.0021072595090085343</t>
  </si>
  <si>
    <t>0.00753345274470551</t>
  </si>
  <si>
    <t>0.0005268148772521336</t>
  </si>
  <si>
    <t>0.0011063112422294806</t>
  </si>
  <si>
    <t>0.005057422821620482</t>
  </si>
  <si>
    <t>0.0015277631440311875</t>
  </si>
  <si>
    <t>0.00010536297545042672</t>
  </si>
  <si>
    <t>0.014803498050784954</t>
  </si>
  <si>
    <t>0.00611105257612475</t>
  </si>
  <si>
    <t>0.001738489094932041</t>
  </si>
  <si>
    <t>0.02354862501317037</t>
  </si>
  <si>
    <t>0.0031082077757875882</t>
  </si>
  <si>
    <t>0.004477926456643136</t>
  </si>
  <si>
    <t>0.010430934569592246</t>
  </si>
  <si>
    <t>0.004372563481192709</t>
  </si>
  <si>
    <t>0.005004741333895269</t>
  </si>
  <si>
    <t>0.0025813928985354544</t>
  </si>
  <si>
    <t>0.0046359709198187755</t>
  </si>
  <si>
    <t>0.0003687704140764935</t>
  </si>
  <si>
    <t>0.0018438520703824676</t>
  </si>
  <si>
    <t>0.004267200505742282</t>
  </si>
  <si>
    <t>0.0062164155515751765</t>
  </si>
  <si>
    <t>0.005689600674323043</t>
  </si>
  <si>
    <t>0.0010536297545042672</t>
  </si>
  <si>
    <t>0.0007902223158782004</t>
  </si>
  <si>
    <t>0.003635022653039722</t>
  </si>
  <si>
    <t>0.0017911705826572542</t>
  </si>
  <si>
    <t>0.0055315562111474025</t>
  </si>
  <si>
    <t>0.0022653039721841745</t>
  </si>
  <si>
    <t>0.0013697186808555473</t>
  </si>
  <si>
    <t>0.00042145190180170686</t>
  </si>
  <si>
    <t>0.002528711410810241</t>
  </si>
  <si>
    <t>0.003371615214413655</t>
  </si>
  <si>
    <t>0.0019492150458328944</t>
  </si>
  <si>
    <t>0.00031608892635128015</t>
  </si>
  <si>
    <t>0.008429038036034137</t>
  </si>
  <si>
    <t>0.00015804446317564007</t>
  </si>
  <si>
    <t>0.001317037193130334</t>
  </si>
  <si>
    <t>0.0016858076072068275</t>
  </si>
  <si>
    <t>0.0008429038036034137</t>
  </si>
  <si>
    <t>0.0023179854599093878</t>
  </si>
  <si>
    <t>0.0037930671162153618</t>
  </si>
  <si>
    <t>0.006479822990201244</t>
  </si>
  <si>
    <t>0.0053208302602465495</t>
  </si>
  <si>
    <t>0.0008955852913286271</t>
  </si>
  <si>
    <t>0.0027394373617110946</t>
  </si>
  <si>
    <t>0.007164682330629017</t>
  </si>
  <si>
    <t>0.0018965335581076809</t>
  </si>
  <si>
    <t>0.0015804446317564007</t>
  </si>
  <si>
    <t>0.0037403856284901485</t>
  </si>
  <si>
    <t>0.0073754082815298706</t>
  </si>
  <si>
    <t>0.0016331261194816142</t>
  </si>
  <si>
    <t>0.002054578021283321</t>
  </si>
  <si>
    <t>0.0006321778527025603</t>
  </si>
  <si>
    <t>0.0011589927299546939</t>
  </si>
  <si>
    <t>0.009588030765988832</t>
  </si>
  <si>
    <t>0.003529659677589295</t>
  </si>
  <si>
    <t>0.0031608892635128015</t>
  </si>
  <si>
    <t>0.003476978189864082</t>
  </si>
  <si>
    <t>0.002950163312611948</t>
  </si>
  <si>
    <t>0.004369599371563237</t>
  </si>
  <si>
    <t>0.010064807541241163</t>
  </si>
  <si>
    <t>0.005646111547525531</t>
  </si>
  <si>
    <t>0.0018656716417910447</t>
  </si>
  <si>
    <t>0.00044186959937156324</t>
  </si>
  <si>
    <t>0.0016692851531814612</t>
  </si>
  <si>
    <t>0.0014728986645718774</t>
  </si>
  <si>
    <t>0.007855459544383346</t>
  </si>
  <si>
    <t>4.909662215239592e-05</t>
  </si>
  <si>
    <t>0.0006382560879811469</t>
  </si>
  <si>
    <t>0.001718381775333857</t>
  </si>
  <si>
    <t>0.0008837391987431265</t>
  </si>
  <si>
    <t>0.006137077769049489</t>
  </si>
  <si>
    <t>0.00024548311076197957</t>
  </si>
  <si>
    <t>0.0012274155538098978</t>
  </si>
  <si>
    <t>0.0026021209740769834</t>
  </si>
  <si>
    <t>0.00805184603299293</t>
  </si>
  <si>
    <t>0.00456598586017282</t>
  </si>
  <si>
    <t>0.0026512175962293792</t>
  </si>
  <si>
    <t>0.0028476040848389632</t>
  </si>
  <si>
    <t>0.00019638648860958367</t>
  </si>
  <si>
    <t>0.015367242733699922</t>
  </si>
  <si>
    <t>0.0008346425765907306</t>
  </si>
  <si>
    <t>0.007904556166535742</t>
  </si>
  <si>
    <t>0.002307541241162608</t>
  </si>
  <si>
    <t>0.026266692851531815</t>
  </si>
  <si>
    <t>0.002798507462686567</t>
  </si>
  <si>
    <t>0.004418695993715633</t>
  </si>
  <si>
    <t>0.010653967007069914</t>
  </si>
  <si>
    <t>0.005007855459544384</t>
  </si>
  <si>
    <t>0.0004909662215239591</t>
  </si>
  <si>
    <t>0.004762372348782404</t>
  </si>
  <si>
    <t>0.0010310290652003143</t>
  </si>
  <si>
    <t>0.0014238020424194816</t>
  </si>
  <si>
    <t>0.0037313432835820895</t>
  </si>
  <si>
    <t>0.0024548311076197957</t>
  </si>
  <si>
    <t>0.0077572663000785545</t>
  </si>
  <si>
    <t>0.0065298507462686565</t>
  </si>
  <si>
    <t>0.0007855459544383347</t>
  </si>
  <si>
    <t>0.0009819324430479183</t>
  </si>
  <si>
    <t>0.00432050274941084</t>
  </si>
  <si>
    <t>0.00039277297721916735</t>
  </si>
  <si>
    <t>0.0019638648860958365</t>
  </si>
  <si>
    <t>0.007511783189316575</t>
  </si>
  <si>
    <t>0.0020129615082482323</t>
  </si>
  <si>
    <t>0.0030930871956009426</t>
  </si>
  <si>
    <t>0.001129222309505106</t>
  </si>
  <si>
    <t>0.0024057344854674</t>
  </si>
  <si>
    <t>9.819324430479184e-05</t>
  </si>
  <si>
    <t>0.0019147682639434407</t>
  </si>
  <si>
    <t>0.0013256087981146896</t>
  </si>
  <si>
    <t>0.008935585231736057</t>
  </si>
  <si>
    <t>0.0002945797329143755</t>
  </si>
  <si>
    <t>0.0015710919088766694</t>
  </si>
  <si>
    <t>0.001178318931657502</t>
  </si>
  <si>
    <t>0.000589159465828751</t>
  </si>
  <si>
    <t>0.00216025137470542</t>
  </si>
  <si>
    <t>0.000540062843676355</t>
  </si>
  <si>
    <t>0.0012765121759622938</t>
  </si>
  <si>
    <t>0.0007364493322859387</t>
  </si>
  <si>
    <t>0.003436763550667714</t>
  </si>
  <si>
    <t>0.003043990573448547</t>
  </si>
  <si>
    <t>0.006775333857030636</t>
  </si>
  <si>
    <t>0.0050569520816967795</t>
  </si>
  <si>
    <t>0.006382560879811469</t>
  </si>
  <si>
    <t>0.0054988216810683424</t>
  </si>
  <si>
    <t>0.006480754124116261</t>
  </si>
  <si>
    <t>0.0013747054202670856</t>
  </si>
  <si>
    <t>0.007609976433621367</t>
  </si>
  <si>
    <t>0.0009328358208955224</t>
  </si>
  <si>
    <t>0.009082875098193244</t>
  </si>
  <si>
    <t>0.0016201885310290652</t>
  </si>
  <si>
    <t>0.001767478397486253</t>
  </si>
  <si>
    <t>0.0022093479968578163</t>
  </si>
  <si>
    <t>0.009230164964650431</t>
  </si>
  <si>
    <t>0.003142183817753339</t>
  </si>
  <si>
    <t>0.00348586017282011</t>
  </si>
  <si>
    <t>0.004305166199439327</t>
  </si>
  <si>
    <t>0.0092110532639167</t>
  </si>
  <si>
    <t>0.004455346415698839</t>
  </si>
  <si>
    <t>0.0021525830997196635</t>
  </si>
  <si>
    <t>0.000250300360432519</t>
  </si>
  <si>
    <t>0.0009010812975570685</t>
  </si>
  <si>
    <t>0.00010012014417300761</t>
  </si>
  <si>
    <t>0.001802162595114137</t>
  </si>
  <si>
    <t>0.007909491389667601</t>
  </si>
  <si>
    <t>0.0001501802162595114</t>
  </si>
  <si>
    <t>0.0011513816579895874</t>
  </si>
  <si>
    <t>0.0022026431718061676</t>
  </si>
  <si>
    <t>0.0019523428113736483</t>
  </si>
  <si>
    <t>0.0013516219463356027</t>
  </si>
  <si>
    <t>0.006758109731678013</t>
  </si>
  <si>
    <t>0.00035042050460552663</t>
  </si>
  <si>
    <t>0.0014016820184221065</t>
  </si>
  <si>
    <t>0.00986183420104125</t>
  </si>
  <si>
    <t>0.0014517420905086104</t>
  </si>
  <si>
    <t>0.0049058870644773725</t>
  </si>
  <si>
    <t>0.00210252302763316</t>
  </si>
  <si>
    <t>0.016069283139767722</t>
  </si>
  <si>
    <t>0.0011013215859030838</t>
  </si>
  <si>
    <t>0.008660392470965159</t>
  </si>
  <si>
    <t>0.0016019223067681217</t>
  </si>
  <si>
    <t>0.025680816980376452</t>
  </si>
  <si>
    <t>0.003303964757709251</t>
  </si>
  <si>
    <t>0.004004805766920304</t>
  </si>
  <si>
    <t>0.01131357629154986</t>
  </si>
  <si>
    <t>0.00565678814577493</t>
  </si>
  <si>
    <t>0.0005506607929515419</t>
  </si>
  <si>
    <t>0.005206247496996396</t>
  </si>
  <si>
    <t>0.0007509010812975571</t>
  </si>
  <si>
    <t>0.004705646776131358</t>
  </si>
  <si>
    <t>0.0006007208650380457</t>
  </si>
  <si>
    <t>0.0015018021625951142</t>
  </si>
  <si>
    <t>0.0015518622346816179</t>
  </si>
  <si>
    <t>0.004655586704044853</t>
  </si>
  <si>
    <t>0.006457749299158991</t>
  </si>
  <si>
    <t>0.0062074489387264715</t>
  </si>
  <si>
    <t>0.0052563075690829</t>
  </si>
  <si>
    <t>0.0016519823788546256</t>
  </si>
  <si>
    <t>0.007559070885062074</t>
  </si>
  <si>
    <t>0.0028534241089307167</t>
  </si>
  <si>
    <t>0.00105126151381658</t>
  </si>
  <si>
    <t>0.0003003604325190228</t>
  </si>
  <si>
    <t>0.0030036043251902285</t>
  </si>
  <si>
    <t>0.0039046856227472966</t>
  </si>
  <si>
    <t>0.002302763315979175</t>
  </si>
  <si>
    <t>0.000500600720865038</t>
  </si>
  <si>
    <t>0.0018522226672006408</t>
  </si>
  <si>
    <t>0.006958350020024029</t>
  </si>
  <si>
    <t>0.00040048057669203043</t>
  </si>
  <si>
    <t>5.0060072086503804e-05</t>
  </si>
  <si>
    <t>0.0012014417300760913</t>
  </si>
  <si>
    <t>0.0009511413696435723</t>
  </si>
  <si>
    <t>0.002803364036844213</t>
  </si>
  <si>
    <t>0.001301561874249099</t>
  </si>
  <si>
    <t>0.0008009611533840609</t>
  </si>
  <si>
    <t>0.0037044453344012816</t>
  </si>
  <si>
    <t>0.0029535442531037244</t>
  </si>
  <si>
    <t>0.008309971966359632</t>
  </si>
  <si>
    <t>0.0058069683620344415</t>
  </si>
  <si>
    <t>0.006808169803764518</t>
  </si>
  <si>
    <t>0.005406487785342411</t>
  </si>
  <si>
    <t>0.0025030036043251903</t>
  </si>
  <si>
    <t>0.00815979175010012</t>
  </si>
  <si>
    <t>0.002052462955546656</t>
  </si>
  <si>
    <t>0.0008510212254705647</t>
  </si>
  <si>
    <t>0.007959551461754104</t>
  </si>
  <si>
    <t>0.0031037244693632358</t>
  </si>
  <si>
    <t>0.00045054064877853424</t>
  </si>
  <si>
    <t>0.005506607929515419</t>
  </si>
  <si>
    <t>0.009761714056868242</t>
  </si>
  <si>
    <t>0.0019022827392871447</t>
  </si>
  <si>
    <t>0.001001201441730076</t>
  </si>
  <si>
    <t>0.010762915498598319</t>
  </si>
  <si>
    <t>0.002002402883460152</t>
  </si>
  <si>
    <t>0.0007008410092110533</t>
  </si>
  <si>
    <t>0.003354024829795755</t>
  </si>
  <si>
    <t>0.0034541449739687625</t>
  </si>
  <si>
    <t>0.004405286343612335</t>
  </si>
  <si>
    <t>0.00457221595891269</t>
  </si>
  <si>
    <t>0.007954403106601528</t>
  </si>
  <si>
    <t>0.004196417386947263</t>
  </si>
  <si>
    <t>0.0016910935738444193</t>
  </si>
  <si>
    <t>0.00031316547663785545</t>
  </si>
  <si>
    <t>0.0005636978579481398</t>
  </si>
  <si>
    <t>0.0016284604785168483</t>
  </si>
  <si>
    <t>0.007328072153325817</t>
  </si>
  <si>
    <t>0.0001252661906551422</t>
  </si>
  <si>
    <t>0.0005010647626205688</t>
  </si>
  <si>
    <t>0.0011273957158962795</t>
  </si>
  <si>
    <t>0.0017537266691719905</t>
  </si>
  <si>
    <t>0.0012526619065514218</t>
  </si>
  <si>
    <t>0.008706000250532381</t>
  </si>
  <si>
    <t>0.00018789928598271326</t>
  </si>
  <si>
    <t>0.002004259050482275</t>
  </si>
  <si>
    <t>0.008455467869222097</t>
  </si>
  <si>
    <t>0.0010647626205687085</t>
  </si>
  <si>
    <t>0.004321683577602405</t>
  </si>
  <si>
    <t>0.0024426907177752723</t>
  </si>
  <si>
    <t>0.002818489289740699</t>
  </si>
  <si>
    <t>0.014844043592634347</t>
  </si>
  <si>
    <t>0.0011900288112238508</t>
  </si>
  <si>
    <t>0.00807966929725667</t>
  </si>
  <si>
    <t>0.002129525241137417</t>
  </si>
  <si>
    <t>0.02593010146561443</t>
  </si>
  <si>
    <t>0.0023174245271201303</t>
  </si>
  <si>
    <t>0.003507453338343981</t>
  </si>
  <si>
    <t>0.00970812977577352</t>
  </si>
  <si>
    <t>0.004822748340222974</t>
  </si>
  <si>
    <t>0.005010647626205687</t>
  </si>
  <si>
    <t>0.000688964048603282</t>
  </si>
  <si>
    <t>0.004697482149567831</t>
  </si>
  <si>
    <t>0.0003757985719654265</t>
  </si>
  <si>
    <t>0.001377928097206564</t>
  </si>
  <si>
    <t>0.004885381435550545</t>
  </si>
  <si>
    <t>0.0077038707252912435</t>
  </si>
  <si>
    <t>0.006764374295377677</t>
  </si>
  <si>
    <t>0.000751597143930853</t>
  </si>
  <si>
    <t>0.004760115244895403</t>
  </si>
  <si>
    <t>0.00576224477013654</t>
  </si>
  <si>
    <t>0.007077539772015533</t>
  </si>
  <si>
    <t>0.001503194287861706</t>
  </si>
  <si>
    <t>0.0030690216710509833</t>
  </si>
  <si>
    <t>0.0018789928598271326</t>
  </si>
  <si>
    <t>0.0080170362019291</t>
  </si>
  <si>
    <t>0.0006263309532757109</t>
  </si>
  <si>
    <t>0.0009394964299135663</t>
  </si>
  <si>
    <t>0.0008142302392584242</t>
  </si>
  <si>
    <t>0.002066892145809846</t>
  </si>
  <si>
    <t>0.00043843166729299764</t>
  </si>
  <si>
    <t>0.002755856194413128</t>
  </si>
  <si>
    <t>0.006138043342101967</t>
  </si>
  <si>
    <t>0.006513841914067393</t>
  </si>
  <si>
    <t>0.008330201678566955</t>
  </si>
  <si>
    <t>0.0051985469121884</t>
  </si>
  <si>
    <t>0.0002505323813102844</t>
  </si>
  <si>
    <t>0.002254791431792559</t>
  </si>
  <si>
    <t>0.007140172867343104</t>
  </si>
  <si>
    <t>0.0021921583364649883</t>
  </si>
  <si>
    <t>0.007265439057998246</t>
  </si>
  <si>
    <t>0.0015658273831892773</t>
  </si>
  <si>
    <t>0.002693223099085557</t>
  </si>
  <si>
    <t>0.004446949768257547</t>
  </si>
  <si>
    <t>0.0010021295252411375</t>
  </si>
  <si>
    <t>0.008893899536515095</t>
  </si>
  <si>
    <t>0.0018163597644995616</t>
  </si>
  <si>
    <t>0.00864336715520481</t>
  </si>
  <si>
    <t>0.00288112238506827</t>
  </si>
  <si>
    <t>0.002567956908430415</t>
  </si>
  <si>
    <t>0.003632719528999123</t>
  </si>
  <si>
    <t>0.003006388575723412</t>
  </si>
  <si>
    <t>0.004384316672929977</t>
  </si>
  <si>
    <t>0.0031942878617061254</t>
  </si>
  <si>
    <t>0.0037093238914179733</t>
  </si>
  <si>
    <t>0.010284943517113471</t>
  </si>
  <si>
    <t>0.005788793345697746</t>
  </si>
  <si>
    <t>0.0021356713314224693</t>
  </si>
  <si>
    <t>0.00044961501714157256</t>
  </si>
  <si>
    <t>0.0013488450514247176</t>
  </si>
  <si>
    <t>0.00028100938571348283</t>
  </si>
  <si>
    <t>0.0011240375428539313</t>
  </si>
  <si>
    <t>0.008823694711403362</t>
  </si>
  <si>
    <t>0.00022480750857078628</t>
  </si>
  <si>
    <t>0.00039341313999887595</t>
  </si>
  <si>
    <t>0.0010116337885685382</t>
  </si>
  <si>
    <t>0.0015174506828528073</t>
  </si>
  <si>
    <t>0.0012364412971393244</t>
  </si>
  <si>
    <t>0.006069802731411229</t>
  </si>
  <si>
    <t>0.0009554319114258417</t>
  </si>
  <si>
    <t>0.0008992300342831451</t>
  </si>
  <si>
    <t>0.002079469454279773</t>
  </si>
  <si>
    <t>0.008767492834260664</t>
  </si>
  <si>
    <t>0.0003372112628561794</t>
  </si>
  <si>
    <t>0.0010678356657112347</t>
  </si>
  <si>
    <t>0.004664755802843815</t>
  </si>
  <si>
    <t>0.0022480750857078627</t>
  </si>
  <si>
    <t>0.0028100938571348284</t>
  </si>
  <si>
    <t>0.0005058168942842691</t>
  </si>
  <si>
    <t>0.014781093688529198</t>
  </si>
  <si>
    <t>0.0014612488057101107</t>
  </si>
  <si>
    <t>0.006013600854268533</t>
  </si>
  <si>
    <t>0.002191873208565166</t>
  </si>
  <si>
    <t>0.024166807171359522</t>
  </si>
  <si>
    <t>0.004046535154274153</t>
  </si>
  <si>
    <t>0.004158938908559546</t>
  </si>
  <si>
    <t>0.011689990445680885</t>
  </si>
  <si>
    <t>0.0051705726971280844</t>
  </si>
  <si>
    <t>0.0006744225257123588</t>
  </si>
  <si>
    <t>0.0065756196256954984</t>
  </si>
  <si>
    <t>0.0006182206485696622</t>
  </si>
  <si>
    <t>0.0024166807171359522</t>
  </si>
  <si>
    <t>0.005901197099983139</t>
  </si>
  <si>
    <t>0.0005620187714269657</t>
  </si>
  <si>
    <t>0.0011802394199966278</t>
  </si>
  <si>
    <t>0.0017422581914235936</t>
  </si>
  <si>
    <t>0.005114370819985388</t>
  </si>
  <si>
    <t>0.006688023379980892</t>
  </si>
  <si>
    <t>0.0007868262799977519</t>
  </si>
  <si>
    <t>0.0038217276457033667</t>
  </si>
  <si>
    <t>0.004945765188557298</t>
  </si>
  <si>
    <t>0.00753105153712134</t>
  </si>
  <si>
    <t>0.0034283145057044905</t>
  </si>
  <si>
    <t>0.003259708874276401</t>
  </si>
  <si>
    <t>0.003990333277131456</t>
  </si>
  <si>
    <t>0.00011240375428539314</t>
  </si>
  <si>
    <t>0.0017984600685662902</t>
  </si>
  <si>
    <t>0.008149272185691002</t>
  </si>
  <si>
    <t>0.0016298544371382004</t>
  </si>
  <si>
    <t>0.0018546619457089867</t>
  </si>
  <si>
    <t>0.0012926431742820211</t>
  </si>
  <si>
    <t>0.0008430281571404484</t>
  </si>
  <si>
    <t>0.0014050469285674142</t>
  </si>
  <si>
    <t>0.0007306244028550553</t>
  </si>
  <si>
    <t>0.0029224976114202213</t>
  </si>
  <si>
    <t>0.0078120609228348225</t>
  </si>
  <si>
    <t>0.004439948294273029</t>
  </si>
  <si>
    <t>0.006126004608553926</t>
  </si>
  <si>
    <t>0.0050019670656999944</t>
  </si>
  <si>
    <t>0.0027538919799921318</t>
  </si>
  <si>
    <t>0.006744225257123588</t>
  </si>
  <si>
    <t>0.0030911032428483113</t>
  </si>
  <si>
    <t>0.007418647782835947</t>
  </si>
  <si>
    <t>0.0030349013657056147</t>
  </si>
  <si>
    <t>0.0025852863485640422</t>
  </si>
  <si>
    <t>0.008486483448547182</t>
  </si>
  <si>
    <t>0.002472882594278649</t>
  </si>
  <si>
    <t>0.0023042769628505593</t>
  </si>
  <si>
    <t>0.0001686056314280897</t>
  </si>
  <si>
    <t>0.00916090597425954</t>
  </si>
  <si>
    <t>0.00376552576856067</t>
  </si>
  <si>
    <t>0.0026414882257067385</t>
  </si>
  <si>
    <t>0.0033159107514190976</t>
  </si>
  <si>
    <t>0.0031473051199910076</t>
  </si>
  <si>
    <t>0.00421910234960355</t>
  </si>
  <si>
    <t>0.010293154870153488</t>
  </si>
  <si>
    <t>0.005419364224921801</t>
  </si>
  <si>
    <t>0.0017822070269877064</t>
  </si>
  <si>
    <t>0.0005092020077107733</t>
  </si>
  <si>
    <t>0.0009820324434422056</t>
  </si>
  <si>
    <t>0.0005819451516694552</t>
  </si>
  <si>
    <t>0.008001745835455008</t>
  </si>
  <si>
    <t>0.00010911471593802284</t>
  </si>
  <si>
    <t>0.0005455735796901142</t>
  </si>
  <si>
    <t>0.001418491307194297</t>
  </si>
  <si>
    <t>0.0014912344511529788</t>
  </si>
  <si>
    <t>0.0010911471593802284</t>
  </si>
  <si>
    <t>0.006401396668364007</t>
  </si>
  <si>
    <t>0.0001454862879173638</t>
  </si>
  <si>
    <t>0.0007638030115661599</t>
  </si>
  <si>
    <t>0.0010547755874008875</t>
  </si>
  <si>
    <t>0.0022186658907397978</t>
  </si>
  <si>
    <t>0.007747144831599622</t>
  </si>
  <si>
    <t>0.00036371571979340947</t>
  </si>
  <si>
    <t>0.0011638903033389103</t>
  </si>
  <si>
    <t>0.0038553866298101404</t>
  </si>
  <si>
    <t>0.0030915836182439805</t>
  </si>
  <si>
    <t>0.0029460973303266167</t>
  </si>
  <si>
    <t>0.017894813413835746</t>
  </si>
  <si>
    <t>0.0009456608714628646</t>
  </si>
  <si>
    <t>0.00807448897941369</t>
  </si>
  <si>
    <t>0.002000436458863752</t>
  </si>
  <si>
    <t>0.025532843529497345</t>
  </si>
  <si>
    <t>0.003418927766058049</t>
  </si>
  <si>
    <t>0.004728304357314323</t>
  </si>
  <si>
    <t>0.010693242161926238</t>
  </si>
  <si>
    <t>0.005019276933149051</t>
  </si>
  <si>
    <t>0.0012002618753182513</t>
  </si>
  <si>
    <t>0.005601222084818506</t>
  </si>
  <si>
    <t>0.0006183167236487961</t>
  </si>
  <si>
    <t>0.0016003491670910017</t>
  </si>
  <si>
    <t>0.004364588637520914</t>
  </si>
  <si>
    <t>0.0002909725758347276</t>
  </si>
  <si>
    <t>0.002109551174801775</t>
  </si>
  <si>
    <t>0.0018185785989670473</t>
  </si>
  <si>
    <t>0.004691932785334982</t>
  </si>
  <si>
    <t>0.007092456535971485</t>
  </si>
  <si>
    <t>0.006692369244198734</t>
  </si>
  <si>
    <t>0.0012366334472975922</t>
  </si>
  <si>
    <t>0.004109987633665527</t>
  </si>
  <si>
    <t>0.0015276060231323198</t>
  </si>
  <si>
    <t>0.006110424092529279</t>
  </si>
  <si>
    <t>0.0018549501709463883</t>
  </si>
  <si>
    <t>0.002764239470429912</t>
  </si>
  <si>
    <t>0.001309376591256274</t>
  </si>
  <si>
    <t>0.0011275187313595694</t>
  </si>
  <si>
    <t>0.0007274314395868189</t>
  </si>
  <si>
    <t>0.003528042481996072</t>
  </si>
  <si>
    <t>0.0022914090346984797</t>
  </si>
  <si>
    <t>7.27431439586819e-05</t>
  </si>
  <si>
    <t>0.000654688295628137</t>
  </si>
  <si>
    <t>0.0016367207390703426</t>
  </si>
  <si>
    <t>0.009274750854731941</t>
  </si>
  <si>
    <t>0.00021822943187604568</t>
  </si>
  <si>
    <t>0.001382119735214956</t>
  </si>
  <si>
    <t>0.0008365461555248418</t>
  </si>
  <si>
    <t>0.0017458354550083655</t>
  </si>
  <si>
    <t>0.0012730050192769331</t>
  </si>
  <si>
    <t>0.0032006983341820033</t>
  </si>
  <si>
    <t>0.000691059867607478</t>
  </si>
  <si>
    <t>0.0065105113843020295</t>
  </si>
  <si>
    <t>0.007274314395868189</t>
  </si>
  <si>
    <t>0.004764675929293664</t>
  </si>
  <si>
    <t>0.0008729177275041827</t>
  </si>
  <si>
    <t>0.0010184040154215465</t>
  </si>
  <si>
    <t>0.0008001745835455008</t>
  </si>
  <si>
    <t>0.0025460100385538663</t>
  </si>
  <si>
    <t>0.008874663562959191</t>
  </si>
  <si>
    <t>0.002145922746781116</t>
  </si>
  <si>
    <t>0.001964064886884411</t>
  </si>
  <si>
    <t>0.007710773259620281</t>
  </si>
  <si>
    <t>0.0019276933149050702</t>
  </si>
  <si>
    <t>0.002873354186367935</t>
  </si>
  <si>
    <t>0.005528478940859824</t>
  </si>
  <si>
    <t>0.002836982614388594</t>
  </si>
  <si>
    <t>0.010256783298174147</t>
  </si>
  <si>
    <t>0.0023641521786571616</t>
  </si>
  <si>
    <t>0.0029097257583472758</t>
  </si>
  <si>
    <t>0.010584127445988216</t>
  </si>
  <si>
    <t>0.0024005237506365025</t>
  </si>
  <si>
    <t>0.00269149632647123</t>
  </si>
  <si>
    <t>0.0031643267622026624</t>
  </si>
  <si>
    <t>0.002618753182512548</t>
  </si>
  <si>
    <t>0.003928129773768822</t>
  </si>
  <si>
    <t>0.003964501345748163</t>
  </si>
  <si>
    <t>0.004097760866383726</t>
  </si>
  <si>
    <t>0.009878530660032197</t>
  </si>
  <si>
    <t>0.004927069613151861</t>
  </si>
  <si>
    <t>0.0016342260598077956</t>
  </si>
  <si>
    <t>0.0002439143372847456</t>
  </si>
  <si>
    <t>0.0013171374213376262</t>
  </si>
  <si>
    <t>0.0006341772769403386</t>
  </si>
  <si>
    <t>0.00807356456412508</t>
  </si>
  <si>
    <t>9.756573491389824e-05</t>
  </si>
  <si>
    <t>0.0010244402165959315</t>
  </si>
  <si>
    <t>0.0016830089272647445</t>
  </si>
  <si>
    <t>0.0017561832284501682</t>
  </si>
  <si>
    <t>0.0011951802526952535</t>
  </si>
  <si>
    <t>0.006268598468217962</t>
  </si>
  <si>
    <t>0.00034148007219864384</t>
  </si>
  <si>
    <t>0.0005122201082979657</t>
  </si>
  <si>
    <t>0.001439094589979999</t>
  </si>
  <si>
    <t>0.0020732718669203374</t>
  </si>
  <si>
    <t>0.007927215961754231</t>
  </si>
  <si>
    <t>0.0010488316503244062</t>
  </si>
  <si>
    <t>0.004268500902483048</t>
  </si>
  <si>
    <t>0.0027318405775891507</t>
  </si>
  <si>
    <t>0.0030733206497877944</t>
  </si>
  <si>
    <t>0.00017074003609932192</t>
  </si>
  <si>
    <t>0.017074003609932192</t>
  </si>
  <si>
    <t>0.0007805258793111859</t>
  </si>
  <si>
    <t>0.010195619298502366</t>
  </si>
  <si>
    <t>0.0029025806136884725</t>
  </si>
  <si>
    <t>0.028220888823845065</t>
  </si>
  <si>
    <t>0.002439143372847456</t>
  </si>
  <si>
    <t>0.004048977998926777</t>
  </si>
  <si>
    <t>0.01161032245475389</t>
  </si>
  <si>
    <t>0.004878286745694912</t>
  </si>
  <si>
    <t>0.0006585687106688131</t>
  </si>
  <si>
    <t>0.006146641299575589</t>
  </si>
  <si>
    <t>0.004024586565198302</t>
  </si>
  <si>
    <t>0.00039026293965559297</t>
  </si>
  <si>
    <t>0.0018049660959071174</t>
  </si>
  <si>
    <t>0.00165861749353627</t>
  </si>
  <si>
    <t>0.003878237962827455</t>
  </si>
  <si>
    <t>0.007390604419727792</t>
  </si>
  <si>
    <t>0.006317381335674911</t>
  </si>
  <si>
    <t>0.001000048782867457</t>
  </si>
  <si>
    <t>0.0010976145177813551</t>
  </si>
  <si>
    <t>0.0044392409385823695</t>
  </si>
  <si>
    <t>0.0002926972047416947</t>
  </si>
  <si>
    <t>0.005610029757549149</t>
  </si>
  <si>
    <t>0.0021952290355627103</t>
  </si>
  <si>
    <t>0.006829601443972877</t>
  </si>
  <si>
    <t>0.0012927459876091517</t>
  </si>
  <si>
    <t>0.002951363481145422</t>
  </si>
  <si>
    <t>0.0011463973852383043</t>
  </si>
  <si>
    <t>0.0014147031562515245</t>
  </si>
  <si>
    <t>0.00046343724084101665</t>
  </si>
  <si>
    <t>0.003487975023171862</t>
  </si>
  <si>
    <t>0.0035123664569003364</t>
  </si>
  <si>
    <t>0.0027806234450460997</t>
  </si>
  <si>
    <t>0.0019025318308210156</t>
  </si>
  <si>
    <t>0.0010732230840528806</t>
  </si>
  <si>
    <t>0.00014634860237084735</t>
  </si>
  <si>
    <t>0.0082443046002244</t>
  </si>
  <si>
    <t>0.0014634860237084735</t>
  </si>
  <si>
    <t>0.0008780916142250841</t>
  </si>
  <si>
    <t>0.0004878286745694912</t>
  </si>
  <si>
    <t>0.0017317917947216937</t>
  </si>
  <si>
    <t>0.00043904580711254205</t>
  </si>
  <si>
    <t>0.0011707888189667788</t>
  </si>
  <si>
    <t>0.0007317430118542368</t>
  </si>
  <si>
    <t>0.0031464949509732183</t>
  </si>
  <si>
    <t>0.0008537001804966096</t>
  </si>
  <si>
    <t>0.0035855407580857603</t>
  </si>
  <si>
    <t>0.0068052100102444025</t>
  </si>
  <si>
    <t>0.00663446997414508</t>
  </si>
  <si>
    <t>0.009024830479535588</t>
  </si>
  <si>
    <t>0.005219766817893556</t>
  </si>
  <si>
    <t>0.0009268744816820333</t>
  </si>
  <si>
    <t>0.0024147519391189815</t>
  </si>
  <si>
    <t>0.0017074003609932192</t>
  </si>
  <si>
    <t>0.0023415776379335576</t>
  </si>
  <si>
    <t>0.0009512659154105078</t>
  </si>
  <si>
    <t>0.00865895897360847</t>
  </si>
  <si>
    <t>0.003366017854529489</t>
  </si>
  <si>
    <t>0.000609785843211864</t>
  </si>
  <si>
    <t>0.0097809649251183</t>
  </si>
  <si>
    <t>0.0016098346260793209</t>
  </si>
  <si>
    <t>0.0009756573491389824</t>
  </si>
  <si>
    <t>0.0013903117225230498</t>
  </si>
  <si>
    <t>0.011512756719839992</t>
  </si>
  <si>
    <t>0.0022196204692911847</t>
  </si>
  <si>
    <t>0.0024635348065759305</t>
  </si>
  <si>
    <t>0.0031952778184301672</t>
  </si>
  <si>
    <t>0.0029757549148738964</t>
  </si>
  <si>
    <t>0.0038538465290989805</t>
  </si>
  <si>
    <t>0.004728195538934153</t>
  </si>
  <si>
    <t>0.010391344997996528</t>
  </si>
  <si>
    <t>0.005182316014425003</t>
  </si>
  <si>
    <t>0.0017897689328168825</t>
  </si>
  <si>
    <t>0.00026712969146520634</t>
  </si>
  <si>
    <t>0.001469213303058635</t>
  </si>
  <si>
    <t>0.0004541204754908508</t>
  </si>
  <si>
    <t>0.0017363429945238414</t>
  </si>
  <si>
    <t>0.006945371978095366</t>
  </si>
  <si>
    <t>0.00010685187658608254</t>
  </si>
  <si>
    <t>0.0008548150126886603</t>
  </si>
  <si>
    <t>0.001389074395619073</t>
  </si>
  <si>
    <t>0.0013089354881795111</t>
  </si>
  <si>
    <t>0.006464538533457994</t>
  </si>
  <si>
    <t>0.000587685321223454</t>
  </si>
  <si>
    <t>0.0002404167223186857</t>
  </si>
  <si>
    <t>0.0010952317350073461</t>
  </si>
  <si>
    <t>0.0020836115934286096</t>
  </si>
  <si>
    <t>0.007292640577000134</t>
  </si>
  <si>
    <t>0.00032055562975824765</t>
  </si>
  <si>
    <t>0.0013356484573260317</t>
  </si>
  <si>
    <t>0.003499398958194203</t>
  </si>
  <si>
    <t>0.003152130359289435</t>
  </si>
  <si>
    <t>0.0027514358220916257</t>
  </si>
  <si>
    <t>0.016829170562308</t>
  </si>
  <si>
    <t>0.0008281020435421397</t>
  </si>
  <si>
    <t>0.00924268732469614</t>
  </si>
  <si>
    <t>0.002404167223186857</t>
  </si>
  <si>
    <t>0.027781487912381463</t>
  </si>
  <si>
    <t>0.0025911580072125015</t>
  </si>
  <si>
    <t>0.003980232402831575</t>
  </si>
  <si>
    <t>0.010818752504340858</t>
  </si>
  <si>
    <t>0.0052357419527180446</t>
  </si>
  <si>
    <t>0.0006678242286630158</t>
  </si>
  <si>
    <t>0.00630426071857887</t>
  </si>
  <si>
    <t>0.0005609723520769333</t>
  </si>
  <si>
    <t>0.0016294911179377588</t>
  </si>
  <si>
    <t>0.003472685989047683</t>
  </si>
  <si>
    <t>0.00042740750634433016</t>
  </si>
  <si>
    <t>0.0022438894083077333</t>
  </si>
  <si>
    <t>0.001763055963670362</t>
  </si>
  <si>
    <t>0.007025510885534927</t>
  </si>
  <si>
    <t>0.0065981033791905975</t>
  </si>
  <si>
    <t>0.0006411112595164953</t>
  </si>
  <si>
    <t>0.004915186322959797</t>
  </si>
  <si>
    <t>0.005770001335648457</t>
  </si>
  <si>
    <t>0.0018699078402564446</t>
  </si>
  <si>
    <t>0.006170695872846267</t>
  </si>
  <si>
    <t>0.0010418057967143048</t>
  </si>
  <si>
    <t>0.0028850006678242286</t>
  </si>
  <si>
    <t>0.0009616668892747428</t>
  </si>
  <si>
    <t>0.003739815680512889</t>
  </si>
  <si>
    <t>0.0011486576733003874</t>
  </si>
  <si>
    <t>0.0014157873647655938</t>
  </si>
  <si>
    <t>0.00018699078402564445</t>
  </si>
  <si>
    <t>0.010311206090556965</t>
  </si>
  <si>
    <t>0.00040069453719780956</t>
  </si>
  <si>
    <t>8.013890743956191e-05</t>
  </si>
  <si>
    <t>0.0012822225190329906</t>
  </si>
  <si>
    <t>0.0010150928275677843</t>
  </si>
  <si>
    <t>0.003071991451849873</t>
  </si>
  <si>
    <t>0.0006143982903699746</t>
  </si>
  <si>
    <t>0.0008013890743956191</t>
  </si>
  <si>
    <t>0.0037131027113663684</t>
  </si>
  <si>
    <t>0.0007212501669560572</t>
  </si>
  <si>
    <t>0.0032589822358755176</t>
  </si>
  <si>
    <t>0.000881527981835181</t>
  </si>
  <si>
    <t>0.006785094163216241</t>
  </si>
  <si>
    <t>0.00926940029384266</t>
  </si>
  <si>
    <t>0.004567917724055029</t>
  </si>
  <si>
    <t>0.0012020836115934285</t>
  </si>
  <si>
    <t>0.0029918525444103112</t>
  </si>
  <si>
    <t>0.009135835448110058</t>
  </si>
  <si>
    <t>0.0019500467476960064</t>
  </si>
  <si>
    <t>0.007639909175904902</t>
  </si>
  <si>
    <t>0.0028048617603846668</t>
  </si>
  <si>
    <t>0.0062241218111393085</t>
  </si>
  <si>
    <t>0.0023774542540403367</t>
  </si>
  <si>
    <t>0.01044477093628957</t>
  </si>
  <si>
    <t>0.002698009883798584</t>
  </si>
  <si>
    <t>0.0012555095498864698</t>
  </si>
  <si>
    <t>0.0011219447041538667</t>
  </si>
  <si>
    <t>0.011860558301055162</t>
  </si>
  <si>
    <t>0.0029651395752637905</t>
  </si>
  <si>
    <t>0.0026178709763590223</t>
  </si>
  <si>
    <t>0.0036863897422198476</t>
  </si>
  <si>
    <t>0.004274075063443301</t>
  </si>
  <si>
    <t>0.004034434022870358</t>
  </si>
  <si>
    <t>0.01053578311704998</t>
  </si>
  <si>
    <t>0.0070409867660285235</t>
  </si>
  <si>
    <t>0.0016446100475395091</t>
  </si>
  <si>
    <t>0.0005139406398560967</t>
  </si>
  <si>
    <t>0.0012591545676474368</t>
  </si>
  <si>
    <t>0.00028266735192085315</t>
  </si>
  <si>
    <t>0.0015675189515610946</t>
  </si>
  <si>
    <t>0.008582808685596813</t>
  </si>
  <si>
    <t>0.00017987922394963382</t>
  </si>
  <si>
    <t>0.0005653347038417063</t>
  </si>
  <si>
    <t>0.0012848515996402416</t>
  </si>
  <si>
    <t>0.001207760503661827</t>
  </si>
  <si>
    <t>0.0066812283181292564</t>
  </si>
  <si>
    <t>0.00043684954387768215</t>
  </si>
  <si>
    <t>0.0007195168957985353</t>
  </si>
  <si>
    <t>0.0013876397276114609</t>
  </si>
  <si>
    <t>0.0021842477193884107</t>
  </si>
  <si>
    <t>0.007760503661827059</t>
  </si>
  <si>
    <t>0.0005396376718489014</t>
  </si>
  <si>
    <t>0.0011306694076834126</t>
  </si>
  <si>
    <t>0.004214313246819992</t>
  </si>
  <si>
    <t>0.002878067583194141</t>
  </si>
  <si>
    <t>0.00303224977515097</t>
  </si>
  <si>
    <t>0.0159578568675318</t>
  </si>
  <si>
    <t>0.0009250931517409739</t>
  </si>
  <si>
    <t>0.0075292303738918155</t>
  </si>
  <si>
    <t>0.0030065527431581652</t>
  </si>
  <si>
    <t>0.027315945008351536</t>
  </si>
  <si>
    <t>0.0037260696389567003</t>
  </si>
  <si>
    <t>0.004779647950661698</t>
  </si>
  <si>
    <t>0.011537967364769369</t>
  </si>
  <si>
    <t>0.004831042014647308</t>
  </si>
  <si>
    <t>0.0007966079917769498</t>
  </si>
  <si>
    <t>0.0062957728382371835</t>
  </si>
  <si>
    <t>0.0023641269433380446</t>
  </si>
  <si>
    <t>0.0039059488629063343</t>
  </si>
  <si>
    <t>0.00035975844789926765</t>
  </si>
  <si>
    <t>0.0026724913272517022</t>
  </si>
  <si>
    <t>0.0051908004625465754</t>
  </si>
  <si>
    <t>0.008736990877553643</t>
  </si>
  <si>
    <t>0.006372863934215598</t>
  </si>
  <si>
    <t>0.0007709109597841449</t>
  </si>
  <si>
    <t>0.0008223050237697546</t>
  </si>
  <si>
    <t>0.0034690993190286522</t>
  </si>
  <si>
    <t>0.00030836438391365796</t>
  </si>
  <si>
    <t>0.005036618270589747</t>
  </si>
  <si>
    <t>0.0017730952075035334</t>
  </si>
  <si>
    <t>0.0067069253501220606</t>
  </si>
  <si>
    <t>0.0011820634716690223</t>
  </si>
  <si>
    <t>0.002852370551201336</t>
  </si>
  <si>
    <t>0.0013105486316330464</t>
  </si>
  <si>
    <t>0.0008993961197481691</t>
  </si>
  <si>
    <t>0.0035461904150070668</t>
  </si>
  <si>
    <t>0.00447128356674804</t>
  </si>
  <si>
    <t>0.002389823975330849</t>
  </si>
  <si>
    <t>0.00020557625594243864</t>
  </si>
  <si>
    <t>0.0024926121033020687</t>
  </si>
  <si>
    <t>0.011794937684697417</t>
  </si>
  <si>
    <t>7.709109597841449e-05</t>
  </si>
  <si>
    <t>0.0014390337915970706</t>
  </si>
  <si>
    <t>0.0009764872157265836</t>
  </si>
  <si>
    <t>0.0006938198638057304</t>
  </si>
  <si>
    <t>0.0022099447513812156</t>
  </si>
  <si>
    <t>0.0016960041115251189</t>
  </si>
  <si>
    <t>0.0013362456636258511</t>
  </si>
  <si>
    <t>0.0010792753436978028</t>
  </si>
  <si>
    <t>0.0075806244378774255</t>
  </si>
  <si>
    <t>0.0005910317358345112</t>
  </si>
  <si>
    <t>0.0063985609662084025</t>
  </si>
  <si>
    <t>0.00814595914171913</t>
  </si>
  <si>
    <t>0.005550558910445843</t>
  </si>
  <si>
    <t>0.0008480020557625594</t>
  </si>
  <si>
    <t>0.001516124887575485</t>
  </si>
  <si>
    <t>0.0033149171270718232</t>
  </si>
  <si>
    <t>0.009250931517409739</t>
  </si>
  <si>
    <t>0.0023384299113452397</t>
  </si>
  <si>
    <t>0.001978671463445972</t>
  </si>
  <si>
    <t>0.0006167287678273159</t>
  </si>
  <si>
    <t>0.0014647308235898754</t>
  </si>
  <si>
    <t>0.005601952974431453</t>
  </si>
  <si>
    <t>0.0007452139277913401</t>
  </si>
  <si>
    <t>0.010818450468970835</t>
  </si>
  <si>
    <t>0.002723885391237312</t>
  </si>
  <si>
    <t>0.0016189130155467044</t>
  </si>
  <si>
    <t>0.0029551586791725557</t>
  </si>
  <si>
    <t>0.001053578311704998</t>
  </si>
  <si>
    <t>0.010201721701143519</t>
  </si>
  <si>
    <t>0.002698188359244507</t>
  </si>
  <si>
    <t>0.00452267763073365</t>
  </si>
  <si>
    <t>0.0027752794552229217</t>
  </si>
  <si>
    <t>0.0018758833354747526</t>
  </si>
  <si>
    <t>0.0037517666709495053</t>
  </si>
  <si>
    <t>0.004445098616426259</t>
  </si>
  <si>
    <t>0.010509272887842213</t>
  </si>
  <si>
    <t>0.007388872534589344</t>
  </si>
  <si>
    <t>0.001795702090079482</t>
  </si>
  <si>
    <t>0.00029437739181630853</t>
  </si>
  <si>
    <t>0.0012952605239917574</t>
  </si>
  <si>
    <t>0.0004710038269060936</t>
  </si>
  <si>
    <t>0.002001766264350898</t>
  </si>
  <si>
    <t>2.943773918163085e-05</t>
  </si>
  <si>
    <t>0.009184574624668826</t>
  </si>
  <si>
    <t>8.831321754489255e-05</t>
  </si>
  <si>
    <t>0.0008536944362672946</t>
  </si>
  <si>
    <t>0.0014130114807182808</t>
  </si>
  <si>
    <t>0.001354136002355019</t>
  </si>
  <si>
    <t>0.00138357374153665</t>
  </si>
  <si>
    <t>0.0069473064468648805</t>
  </si>
  <si>
    <t>0.00044156608772446274</t>
  </si>
  <si>
    <t>0.0005593170444509861</t>
  </si>
  <si>
    <t>0.0015307624374448043</t>
  </si>
  <si>
    <t>0.002325581395348837</t>
  </si>
  <si>
    <t>0.007594936708860759</t>
  </si>
  <si>
    <t>0.0010597586105387106</t>
  </si>
  <si>
    <t>0.004415660877244628</t>
  </si>
  <si>
    <t>0.0028260229614365615</t>
  </si>
  <si>
    <t>0.002384456873712099</t>
  </si>
  <si>
    <t>0.017162201942890785</t>
  </si>
  <si>
    <t>0.0011775095672652341</t>
  </si>
  <si>
    <t>0.00968501619075655</t>
  </si>
  <si>
    <t>0.0026788342655284076</t>
  </si>
  <si>
    <t>0.028319105092728877</t>
  </si>
  <si>
    <t>0.0030909626140712392</t>
  </si>
  <si>
    <t>0.00450397409478952</t>
  </si>
  <si>
    <t>0.011333529584927877</t>
  </si>
  <si>
    <t>0.005593170444509862</t>
  </si>
  <si>
    <t>0.00691786870768325</t>
  </si>
  <si>
    <t>0.004180158963791581</t>
  </si>
  <si>
    <t>0.0004121283485428319</t>
  </si>
  <si>
    <t>0.002708272004710038</t>
  </si>
  <si>
    <t>0.002207830438622314</t>
  </si>
  <si>
    <t>0.004886664704150721</t>
  </si>
  <si>
    <t>0.009155136885487195</t>
  </si>
  <si>
    <t>0.006299676184869002</t>
  </si>
  <si>
    <t>0.0010891963497203414</t>
  </si>
  <si>
    <t>0.001206947306446865</t>
  </si>
  <si>
    <t>0.004386223138062997</t>
  </si>
  <si>
    <t>0.0055342949661466</t>
  </si>
  <si>
    <t>0.0016779511333529585</t>
  </si>
  <si>
    <t>0.0011186340889019722</t>
  </si>
  <si>
    <t>0.0030615248748896086</t>
  </si>
  <si>
    <t>0.002531645569620253</t>
  </si>
  <si>
    <t>0.00020606417427141595</t>
  </si>
  <si>
    <t>0.0022961436561672066</t>
  </si>
  <si>
    <t>0.00014718869590815426</t>
  </si>
  <si>
    <t>0.011539593759199293</t>
  </si>
  <si>
    <t>0.0001177509567265234</t>
  </si>
  <si>
    <t>0.001766264350897851</t>
  </si>
  <si>
    <t>0.0009714453929938181</t>
  </si>
  <si>
    <t>0.0006476302619958787</t>
  </si>
  <si>
    <t>0.001000883132175449</t>
  </si>
  <si>
    <t>0.002590521047983515</t>
  </si>
  <si>
    <t>0.0016190756549896968</t>
  </si>
  <si>
    <t>0.0007359434795407713</t>
  </si>
  <si>
    <t>0.0008242566970856638</t>
  </si>
  <si>
    <t>0.0015013246982631735</t>
  </si>
  <si>
    <t>0.004032970267883427</t>
  </si>
  <si>
    <t>0.004003532528701796</t>
  </si>
  <si>
    <t>0.006535178098322049</t>
  </si>
  <si>
    <t>0.006476302619958787</t>
  </si>
  <si>
    <t>0.008330880188401531</t>
  </si>
  <si>
    <t>0.005210479835148661</t>
  </si>
  <si>
    <t>0.001589637915808066</t>
  </si>
  <si>
    <t>0.003385340005887548</t>
  </si>
  <si>
    <t>0.008919634972034149</t>
  </si>
  <si>
    <t>0.002178392699440683</t>
  </si>
  <si>
    <t>0.0007653812187224022</t>
  </si>
  <si>
    <t>0.007653812187224021</t>
  </si>
  <si>
    <t>0.0018545775684427437</t>
  </si>
  <si>
    <t>0.003532528701795702</t>
  </si>
  <si>
    <t>0.0005004415660877245</t>
  </si>
  <si>
    <t>0.005387106270238445</t>
  </si>
  <si>
    <t>0.002502207830438622</t>
  </si>
  <si>
    <t>0.0009420076538121872</t>
  </si>
  <si>
    <t>0.010744774801295261</t>
  </si>
  <si>
    <t>0.0012658227848101266</t>
  </si>
  <si>
    <t>0.01142184280247277</t>
  </si>
  <si>
    <t>0.002973211657344716</t>
  </si>
  <si>
    <t>0.0008831321754489255</t>
  </si>
  <si>
    <t>0.0023550191345304682</t>
  </si>
  <si>
    <t>0.004091845746246688</t>
  </si>
  <si>
    <t>0.0041714891975308645</t>
  </si>
  <si>
    <t>0.011019483024691358</t>
  </si>
  <si>
    <t>0.005762924382716049</t>
  </si>
  <si>
    <t>0.0002652391975308642</t>
  </si>
  <si>
    <t>0.0018566743827160494</t>
  </si>
  <si>
    <t>0.0005304783950617284</t>
  </si>
  <si>
    <t>0.0017602237654320988</t>
  </si>
  <si>
    <t>0.007691936728395062</t>
  </si>
  <si>
    <t>0.0009645061728395061</t>
  </si>
  <si>
    <t>0.0013744212962962963</t>
  </si>
  <si>
    <t>0.0013985339506172839</t>
  </si>
  <si>
    <t>0.0015190972222222222</t>
  </si>
  <si>
    <t>0.00699266975308642</t>
  </si>
  <si>
    <t>0.0003616898148148148</t>
  </si>
  <si>
    <t>0.0006028163580246913</t>
  </si>
  <si>
    <t>0.001109182098765432</t>
  </si>
  <si>
    <t>0.0023389274691358024</t>
  </si>
  <si>
    <t>0.00841531635802469</t>
  </si>
  <si>
    <t>0.0006510416666666666</t>
  </si>
  <si>
    <t>0.0010850694444444445</t>
  </si>
  <si>
    <t>0.003641010802469136</t>
  </si>
  <si>
    <t>0.002917631172839506</t>
  </si>
  <si>
    <t>0.0030381944444444445</t>
  </si>
  <si>
    <t>0.00021701388888888888</t>
  </si>
  <si>
    <t>0.015673225308641976</t>
  </si>
  <si>
    <t>0.0007233796296296296</t>
  </si>
  <si>
    <t>0.010344328703703705</t>
  </si>
  <si>
    <t>0.0027729552469135804</t>
  </si>
  <si>
    <t>0.02741608796296296</t>
  </si>
  <si>
    <t>0.0025318287037037037</t>
  </si>
  <si>
    <t>0.0042920524691358024</t>
  </si>
  <si>
    <t>0.010320216049382717</t>
  </si>
  <si>
    <t>0.0060281635802469135</t>
  </si>
  <si>
    <t>0.0005063657407407407</t>
  </si>
  <si>
    <t>0.005979938271604938</t>
  </si>
  <si>
    <t>0.0008680555555555555</t>
  </si>
  <si>
    <t>0.0014949845679012345</t>
  </si>
  <si>
    <t>0.004099151234567901</t>
  </si>
  <si>
    <t>0.002387152777777778</t>
  </si>
  <si>
    <t>0.0016396604938271604</t>
  </si>
  <si>
    <t>0.004243827160493827</t>
  </si>
  <si>
    <t>0.009090470679012346</t>
  </si>
  <si>
    <t>0.006968557098765432</t>
  </si>
  <si>
    <t>0.0043885030864197535</t>
  </si>
  <si>
    <t>0.00016878858024691357</t>
  </si>
  <si>
    <t>0.005738811728395062</t>
  </si>
  <si>
    <t>0.001591435185185185</t>
  </si>
  <si>
    <t>0.006100501543209877</t>
  </si>
  <si>
    <t>0.0017843364197530863</t>
  </si>
  <si>
    <t>0.003158757716049383</t>
  </si>
  <si>
    <t>0.0012779706790123457</t>
  </si>
  <si>
    <t>0.0010368441358024692</t>
  </si>
  <si>
    <t>0.0010127314814814814</t>
  </si>
  <si>
    <t>0.0033034336419753086</t>
  </si>
  <si>
    <t>0.004798418209876543</t>
  </si>
  <si>
    <t>0.0025559413580246914</t>
  </si>
  <si>
    <t>9.645061728395061e-05</t>
  </si>
  <si>
    <t>0.00236304012345679</t>
  </si>
  <si>
    <t>0.001326195987654321</t>
  </si>
  <si>
    <t>0.011188271604938271</t>
  </si>
  <si>
    <t>0.0011332947530864198</t>
  </si>
  <si>
    <t>0.0009403935185185185</t>
  </si>
  <si>
    <t>0.000626929012345679</t>
  </si>
  <si>
    <t>0.0013503086419753086</t>
  </si>
  <si>
    <t>0.0006992669753086419</t>
  </si>
  <si>
    <t>0.001253858024691358</t>
  </si>
  <si>
    <t>0.0012297453703703704</t>
  </si>
  <si>
    <t>0.0035204475308641976</t>
  </si>
  <si>
    <t>0.0009162808641975308</t>
  </si>
  <si>
    <t>0.003399884259259259</t>
  </si>
  <si>
    <t>0.007089120370370371</t>
  </si>
  <si>
    <t>0.006872106481481482</t>
  </si>
  <si>
    <t>0.009669174382716049</t>
  </si>
  <si>
    <t>0.0012056327160493826</t>
  </si>
  <si>
    <t>0.0031105324074074073</t>
  </si>
  <si>
    <t>0.008463541666666666</t>
  </si>
  <si>
    <t>0.0024112654320987653</t>
  </si>
  <si>
    <t>0.0007957175925925925</t>
  </si>
  <si>
    <t>0.006775655864197531</t>
  </si>
  <si>
    <t>0.001880787037037037</t>
  </si>
  <si>
    <t>0.002652391975308642</t>
  </si>
  <si>
    <t>0.006148726851851852</t>
  </si>
  <si>
    <t>0.0011574074074074073</t>
  </si>
  <si>
    <t>0.002724729938271605</t>
  </si>
  <si>
    <t>0.009862075617283951</t>
  </si>
  <si>
    <t>0.0032552083333333335</t>
  </si>
  <si>
    <t>0.0008921682098765432</t>
  </si>
  <si>
    <t>0.0007474922839506172</t>
  </si>
  <si>
    <t>0.00024112654320987653</t>
  </si>
  <si>
    <t>0.011067708333333334</t>
  </si>
  <si>
    <t>0.002989969135802469</t>
  </si>
  <si>
    <t>0.0022907021604938274</t>
  </si>
  <si>
    <t>0.003134645061728395</t>
  </si>
  <si>
    <t>0.0037133487654320988</t>
  </si>
  <si>
    <t>0.00392156862745098</t>
  </si>
  <si>
    <t>0.010784313725490196</t>
  </si>
  <si>
    <t>0.007352941176470588</t>
  </si>
  <si>
    <t>0.0016612200435729848</t>
  </si>
  <si>
    <t>0.0004084967320261438</t>
  </si>
  <si>
    <t>0.00043572984749455336</t>
  </si>
  <si>
    <t>0.001715686274509804</t>
  </si>
  <si>
    <t>0.009204793028322441</t>
  </si>
  <si>
    <t>0.00021786492374727668</t>
  </si>
  <si>
    <t>0.0010620915032679738</t>
  </si>
  <si>
    <t>0.00130718954248366</t>
  </si>
  <si>
    <t>0.0010348583877995642</t>
  </si>
  <si>
    <t>0.001252723311546841</t>
  </si>
  <si>
    <t>0.006127450980392157</t>
  </si>
  <si>
    <t>0.0007352941176470588</t>
  </si>
  <si>
    <t>0.0003540305010893246</t>
  </si>
  <si>
    <t>0.0029956427015250544</t>
  </si>
  <si>
    <t>0.007543572984749456</t>
  </si>
  <si>
    <t>0.0007625272331154684</t>
  </si>
  <si>
    <t>0.0012254901960784314</t>
  </si>
  <si>
    <t>0.004847494553376907</t>
  </si>
  <si>
    <t>0.0024782135076252725</t>
  </si>
  <si>
    <t>0.0022875816993464053</t>
  </si>
  <si>
    <t>0.0001633986928104575</t>
  </si>
  <si>
    <t>0.016176470588235296</t>
  </si>
  <si>
    <t>0.0005174291938997821</t>
  </si>
  <si>
    <t>0.009095860566448802</t>
  </si>
  <si>
    <t>0.0024509803921568627</t>
  </si>
  <si>
    <t>0.029030501089324617</t>
  </si>
  <si>
    <t>0.0027233115468409588</t>
  </si>
  <si>
    <t>0.0046023965141612205</t>
  </si>
  <si>
    <t>0.009994553376906318</t>
  </si>
  <si>
    <t>0.004901960784313725</t>
  </si>
  <si>
    <t>0.0005718954248366013</t>
  </si>
  <si>
    <t>0.00065359477124183</t>
  </si>
  <si>
    <t>0.001579520697167756</t>
  </si>
  <si>
    <t>0.0037854030501089323</t>
  </si>
  <si>
    <t>0.002559912854030501</t>
  </si>
  <si>
    <t>0.0019335511982570806</t>
  </si>
  <si>
    <t>0.004520697167755991</t>
  </si>
  <si>
    <t>0.00917755991285403</t>
  </si>
  <si>
    <t>0.006971677559912854</t>
  </si>
  <si>
    <t>0.0009531590413943355</t>
  </si>
  <si>
    <t>0.004084967320261438</t>
  </si>
  <si>
    <t>0.00029956427015250545</t>
  </si>
  <si>
    <t>0.0050381263616557734</t>
  </si>
  <si>
    <t>0.0023965141612200436</t>
  </si>
  <si>
    <t>0.006508714596949891</t>
  </si>
  <si>
    <t>0.003867102396514161</t>
  </si>
  <si>
    <t>0.0011165577342047931</t>
  </si>
  <si>
    <t>0.0034586056644880176</t>
  </si>
  <si>
    <t>0.0039760348583878</t>
  </si>
  <si>
    <t>0.002096949891067538</t>
  </si>
  <si>
    <t>0.0012799564270152505</t>
  </si>
  <si>
    <t>0.00024509803921568627</t>
  </si>
  <si>
    <t>0.011655773420479304</t>
  </si>
  <si>
    <t>8.169934640522875e-05</t>
  </si>
  <si>
    <t>0.0011982570806100218</t>
  </si>
  <si>
    <t>0.0008986928104575163</t>
  </si>
  <si>
    <t>0.003022875816993464</t>
  </si>
  <si>
    <t>0.0018246187363834424</t>
  </si>
  <si>
    <t>0.0007080610021786493</t>
  </si>
  <si>
    <t>0.0011710239651416122</t>
  </si>
  <si>
    <t>0.000789760348583878</t>
  </si>
  <si>
    <t>0.0008169934640522876</t>
  </si>
  <si>
    <t>0.0044662309368191724</t>
  </si>
  <si>
    <t>0.007461873638344226</t>
  </si>
  <si>
    <t>0.0061546840958605666</t>
  </si>
  <si>
    <t>0.008687363834422658</t>
  </si>
  <si>
    <t>0.005964052287581699</t>
  </si>
  <si>
    <t>0.0008442265795206972</t>
  </si>
  <si>
    <t>0.0010076252723311546</t>
  </si>
  <si>
    <t>0.003540305010893246</t>
  </si>
  <si>
    <t>0.008932461873638345</t>
  </si>
  <si>
    <t>0.0022603485838779956</t>
  </si>
  <si>
    <t>0.002886710239651416</t>
  </si>
  <si>
    <t>0.0015522875816993463</t>
  </si>
  <si>
    <t>0.002696078431372549</t>
  </si>
  <si>
    <t>0.0006263616557734205</t>
  </si>
  <si>
    <t>0.006100217864923747</t>
  </si>
  <si>
    <t>0.0024237472766884534</t>
  </si>
  <si>
    <t>0.009531590413943355</t>
  </si>
  <si>
    <t>0.002913943355119826</t>
  </si>
  <si>
    <t>0.001388888888888889</t>
  </si>
  <si>
    <t>0.0014978213507625272</t>
  </si>
  <si>
    <t>0.010130718954248366</t>
  </si>
  <si>
    <t>0.0026688453159041396</t>
  </si>
  <si>
    <t>0.003730936819172113</t>
  </si>
  <si>
    <t>0.002968409586056645</t>
  </si>
  <si>
    <t>0.0022331154684095862</t>
  </si>
  <si>
    <t>0.003594771241830065</t>
  </si>
  <si>
    <t>0.0038398692810457514</t>
  </si>
  <si>
    <t>0.004636715584766363</t>
  </si>
  <si>
    <t>0.011164130728369496</t>
  </si>
  <si>
    <t>0.007337714954533177</t>
  </si>
  <si>
    <t>0.0016205996218600883</t>
  </si>
  <si>
    <t>0.0004951832177905825</t>
  </si>
  <si>
    <t>0.0017106329341856487</t>
  </si>
  <si>
    <t>0.00018006662465112092</t>
  </si>
  <si>
    <t>0.002340866120464572</t>
  </si>
  <si>
    <t>0.008553164670928244</t>
  </si>
  <si>
    <t>0.00027009993697668135</t>
  </si>
  <si>
    <t>0.0006302331862789232</t>
  </si>
  <si>
    <t>0.0016656162780228684</t>
  </si>
  <si>
    <t>0.0009003331232556045</t>
  </si>
  <si>
    <t>0.0008102998109300441</t>
  </si>
  <si>
    <t>0.006572431799765913</t>
  </si>
  <si>
    <t>0.00036013324930224183</t>
  </si>
  <si>
    <t>0.000585216530116143</t>
  </si>
  <si>
    <t>0.0003151165931394616</t>
  </si>
  <si>
    <t>0.001755649590348429</t>
  </si>
  <si>
    <t>0.00810299810930044</t>
  </si>
  <si>
    <t>0.005672098676510309</t>
  </si>
  <si>
    <t>0.0026559827136040334</t>
  </si>
  <si>
    <t>0.0028360493382551546</t>
  </si>
  <si>
    <t>0.00013504996848834067</t>
  </si>
  <si>
    <t>0.01584586296929864</t>
  </si>
  <si>
    <t>0.0010353830917439453</t>
  </si>
  <si>
    <t>0.008283064733951562</t>
  </si>
  <si>
    <t>0.0030611326190690554</t>
  </si>
  <si>
    <t>0.026289727199063653</t>
  </si>
  <si>
    <t>0.003601332493022418</t>
  </si>
  <si>
    <t>0.004546682272440803</t>
  </si>
  <si>
    <t>0.011479247321508958</t>
  </si>
  <si>
    <t>0.004726748897091924</t>
  </si>
  <si>
    <t>0.0007652831547672638</t>
  </si>
  <si>
    <t>0.005492032051859188</t>
  </si>
  <si>
    <t>0.0024308994327901325</t>
  </si>
  <si>
    <t>0.004816782209417485</t>
  </si>
  <si>
    <t>0.0006752498424417035</t>
  </si>
  <si>
    <t>0.002295849464301792</t>
  </si>
  <si>
    <t>0.004456648960115243</t>
  </si>
  <si>
    <t>0.006212298550463672</t>
  </si>
  <si>
    <t>0.0015305663095345277</t>
  </si>
  <si>
    <t>0.0008553164670928243</t>
  </si>
  <si>
    <t>0.004861798865580265</t>
  </si>
  <si>
    <t>0.0020707661834878906</t>
  </si>
  <si>
    <t>0.0071576483298820565</t>
  </si>
  <si>
    <t>0.003196182587557396</t>
  </si>
  <si>
    <t>0.0014405329972089673</t>
  </si>
  <si>
    <t>0.003106149275231836</t>
  </si>
  <si>
    <t>0.0039164490861618795</t>
  </si>
  <si>
    <t>0.0022058161519762313</t>
  </si>
  <si>
    <t>0.0011254164040695057</t>
  </si>
  <si>
    <t>0.011929413883136761</t>
  </si>
  <si>
    <t>9.003331232556046e-05</t>
  </si>
  <si>
    <t>0.00198073287116233</t>
  </si>
  <si>
    <t>0.0005401998739533627</t>
  </si>
  <si>
    <t>0.0024759160889529126</t>
  </si>
  <si>
    <t>0.001395516341046187</t>
  </si>
  <si>
    <t>0.0032411992437201766</t>
  </si>
  <si>
    <t>0.0010803997479067254</t>
  </si>
  <si>
    <t>0.004231565679301341</t>
  </si>
  <si>
    <t>0.008373098046277122</t>
  </si>
  <si>
    <t>0.000990366435581165</t>
  </si>
  <si>
    <t>0.006887548392905375</t>
  </si>
  <si>
    <t>0.008057981453137662</t>
  </si>
  <si>
    <t>0.004681732240929144</t>
  </si>
  <si>
    <t>0.0012604663725578464</t>
  </si>
  <si>
    <t>0.001575582965697308</t>
  </si>
  <si>
    <t>0.001800666246511209</t>
  </si>
  <si>
    <t>0.0067524984244170345</t>
  </si>
  <si>
    <t>0.0018906995588367696</t>
  </si>
  <si>
    <t>0.0033762492122085173</t>
  </si>
  <si>
    <t>0.005041865490231385</t>
  </si>
  <si>
    <t>0.0025209327451156927</t>
  </si>
  <si>
    <t>0.00972359773116053</t>
  </si>
  <si>
    <t>0.00040514990546502207</t>
  </si>
  <si>
    <t>0.012064463851625101</t>
  </si>
  <si>
    <t>0.0025659494012784732</t>
  </si>
  <si>
    <t>0.004591698928603584</t>
  </si>
  <si>
    <t>0.002700999369766814</t>
  </si>
  <si>
    <t>0.0034662825245340774</t>
  </si>
  <si>
    <t>0.003151165931394616</t>
  </si>
  <si>
    <t>0.004083749270759059</t>
  </si>
  <si>
    <t>0.009334284047449277</t>
  </si>
  <si>
    <t>0.0060283917806443245</t>
  </si>
  <si>
    <t>0.0018798210928890906</t>
  </si>
  <si>
    <t>0.00045374991897322877</t>
  </si>
  <si>
    <t>0.0012964283399235106</t>
  </si>
  <si>
    <t>0.0005185713359694043</t>
  </si>
  <si>
    <t>0.0016205354249043884</t>
  </si>
  <si>
    <t>0.008621248460491346</t>
  </si>
  <si>
    <t>0.0001944642509885266</t>
  </si>
  <si>
    <t>0.0010371426719388086</t>
  </si>
  <si>
    <t>0.0011019640889349841</t>
  </si>
  <si>
    <t>0.0060932131976405</t>
  </si>
  <si>
    <t>0.0007130355869579309</t>
  </si>
  <si>
    <t>0.0003889285019770532</t>
  </si>
  <si>
    <t>0.0009074998379464575</t>
  </si>
  <si>
    <t>0.001944642509885266</t>
  </si>
  <si>
    <t>0.008361962792506644</t>
  </si>
  <si>
    <t>0.00012964283399235108</t>
  </si>
  <si>
    <t>0.0055098204446749205</t>
  </si>
  <si>
    <t>0.0025280352628508458</t>
  </si>
  <si>
    <t>0.014066247488170092</t>
  </si>
  <si>
    <t>0.0008426784209502819</t>
  </si>
  <si>
    <t>0.00842678420950282</t>
  </si>
  <si>
    <t>0.026641602385428145</t>
  </si>
  <si>
    <t>0.0035651779347896546</t>
  </si>
  <si>
    <t>0.0048616062747131655</t>
  </si>
  <si>
    <t>0.011019640889349841</t>
  </si>
  <si>
    <t>0.004343034938743761</t>
  </si>
  <si>
    <t>0.005704284695663447</t>
  </si>
  <si>
    <t>0.0023983924288584948</t>
  </si>
  <si>
    <t>0.003759642185778181</t>
  </si>
  <si>
    <t>0.0005833927529655798</t>
  </si>
  <si>
    <t>0.001814999675892915</t>
  </si>
  <si>
    <t>0.002139106760873793</t>
  </si>
  <si>
    <t>0.003305892266804952</t>
  </si>
  <si>
    <t>0.007519284371556362</t>
  </si>
  <si>
    <t>0.006482141699617553</t>
  </si>
  <si>
    <t>0.0006482141699617553</t>
  </si>
  <si>
    <t>0.005444999027678745</t>
  </si>
  <si>
    <t>0.00032410708498087766</t>
  </si>
  <si>
    <t>0.0050560705257016916</t>
  </si>
  <si>
    <t>0.008815712711479873</t>
  </si>
  <si>
    <t>0.0014260711739158619</t>
  </si>
  <si>
    <t>0.0027224995138393727</t>
  </si>
  <si>
    <t>0.0016853568419005639</t>
  </si>
  <si>
    <t>0.0007778570039541064</t>
  </si>
  <si>
    <t>0.0023335710118623193</t>
  </si>
  <si>
    <t>0.0045374991897322876</t>
  </si>
  <si>
    <t>0.011538212225319245</t>
  </si>
  <si>
    <t>6.482141699617554e-05</t>
  </si>
  <si>
    <t>0.0013612497569196864</t>
  </si>
  <si>
    <t>0.0029817851818240747</t>
  </si>
  <si>
    <t>0.0015557140079082129</t>
  </si>
  <si>
    <t>0.00025928566798470216</t>
  </si>
  <si>
    <t>0.0033707136838011277</t>
  </si>
  <si>
    <t>0.009463926881441629</t>
  </si>
  <si>
    <t>0.006806248784598431</t>
  </si>
  <si>
    <t>0.000972321254942633</t>
  </si>
  <si>
    <t>0.0028521423478317237</t>
  </si>
  <si>
    <t>0.0053801776106825695</t>
  </si>
  <si>
    <t>0.0034355351007973036</t>
  </si>
  <si>
    <t>0.007454462954560186</t>
  </si>
  <si>
    <t>0.0024632138458546703</t>
  </si>
  <si>
    <t>0.01030660530239191</t>
  </si>
  <si>
    <t>0.004407856355739937</t>
  </si>
  <si>
    <t>0.00304660659882025</t>
  </si>
  <si>
    <t>0.003500356517793479</t>
  </si>
  <si>
    <t>0.0034386889083991806</t>
  </si>
  <si>
    <t>0.010389230318993269</t>
  </si>
  <si>
    <t>0.005853087503658179</t>
  </si>
  <si>
    <t>0.0013169446883230904</t>
  </si>
  <si>
    <t>0.0004389815627743635</t>
  </si>
  <si>
    <t>0.001170617500731636</t>
  </si>
  <si>
    <t>0.0015364354697102723</t>
  </si>
  <si>
    <t>0.007023705004389816</t>
  </si>
  <si>
    <t>0.0005121451565700908</t>
  </si>
  <si>
    <t>0.0010242903131401815</t>
  </si>
  <si>
    <t>0.0007316359379572724</t>
  </si>
  <si>
    <t>0.007096868598185543</t>
  </si>
  <si>
    <t>0.0003658179689786362</t>
  </si>
  <si>
    <t>0.00021949078138718174</t>
  </si>
  <si>
    <t>0.000877963125548727</t>
  </si>
  <si>
    <t>0.0019022534386889084</t>
  </si>
  <si>
    <t>0.006950541410594088</t>
  </si>
  <si>
    <t>0.0001463271875914545</t>
  </si>
  <si>
    <t>0.0009511267193444542</t>
  </si>
  <si>
    <t>0.003219198127011999</t>
  </si>
  <si>
    <t>0.002341235001463272</t>
  </si>
  <si>
    <t>0.013169446883230905</t>
  </si>
  <si>
    <t>0.008999122036874451</t>
  </si>
  <si>
    <t>0.002780216564237635</t>
  </si>
  <si>
    <t>0.0252414398595259</t>
  </si>
  <si>
    <t>0.001975417032484636</t>
  </si>
  <si>
    <t>0.0029997073456248173</t>
  </si>
  <si>
    <t>0.00980392156862745</t>
  </si>
  <si>
    <t>0.005121451565700907</t>
  </si>
  <si>
    <t>0.005779923909862452</t>
  </si>
  <si>
    <t>0.004170324846356453</t>
  </si>
  <si>
    <t>0.000585308750365818</t>
  </si>
  <si>
    <t>0.0018290898448931811</t>
  </si>
  <si>
    <t>0.0033655253146034534</t>
  </si>
  <si>
    <t>0.007609013754755633</t>
  </si>
  <si>
    <t>0.0062920690664325435</t>
  </si>
  <si>
    <t>0.000292654375182909</t>
  </si>
  <si>
    <t>0.005194615159496634</t>
  </si>
  <si>
    <t>0.004755633596722271</t>
  </si>
  <si>
    <t>0.0016827626573017267</t>
  </si>
  <si>
    <t>0.007243195785776997</t>
  </si>
  <si>
    <t>0.0024875621890547263</t>
  </si>
  <si>
    <t>0.0013901082821188176</t>
  </si>
  <si>
    <t>0.0029265437518290896</t>
  </si>
  <si>
    <t>0.001755926251097454</t>
  </si>
  <si>
    <t>0.0008047995317529997</t>
  </si>
  <si>
    <t>7.316359379572725e-05</t>
  </si>
  <si>
    <t>0.009730757974831724</t>
  </si>
  <si>
    <t>0.0030728709394205445</t>
  </si>
  <si>
    <t>0.008047995317529998</t>
  </si>
  <si>
    <t>0.007682177348551361</t>
  </si>
  <si>
    <t>0.01221832016388645</t>
  </si>
  <si>
    <t>0.0012437810945273632</t>
  </si>
  <si>
    <t>0.0010974539069359087</t>
  </si>
  <si>
    <t>0.002414398595258999</t>
  </si>
  <si>
    <t>0.007828504536142816</t>
  </si>
  <si>
    <t>0.006072578285045362</t>
  </si>
  <si>
    <t>0.00556043312847527</t>
  </si>
  <si>
    <t>0.0025607257828504535</t>
  </si>
  <si>
    <t>0.008852794849282997</t>
  </si>
  <si>
    <t>0.0022680714076675447</t>
  </si>
  <si>
    <t>0.010169739537606087</t>
  </si>
  <si>
    <t>0.0021949078138718174</t>
  </si>
  <si>
    <t>0.0028533801580333624</t>
  </si>
  <si>
    <t>0.0021217442200760902</t>
  </si>
  <si>
    <t>0.003292361720807726</t>
  </si>
  <si>
    <t>0.003585016095990635</t>
  </si>
  <si>
    <t>0.0051002914452254414</t>
  </si>
  <si>
    <t>0.009729127378707354</t>
  </si>
  <si>
    <t>0.005828904508829076</t>
  </si>
  <si>
    <t>0.0018858220469741129</t>
  </si>
  <si>
    <t>8.571918395336877e-05</t>
  </si>
  <si>
    <t>0.001028630207440425</t>
  </si>
  <si>
    <t>0.0005571746956968969</t>
  </si>
  <si>
    <t>0.0017572432710440597</t>
  </si>
  <si>
    <t>0.007114692268129608</t>
  </si>
  <si>
    <t>0.00021429795988342192</t>
  </si>
  <si>
    <t>0.0007714726555803189</t>
  </si>
  <si>
    <t>0.0013715069432539003</t>
  </si>
  <si>
    <t>0.0011572089833704782</t>
  </si>
  <si>
    <t>0.006600377164409395</t>
  </si>
  <si>
    <t>0.0006857534716269502</t>
  </si>
  <si>
    <t>0.0008143322475570033</t>
  </si>
  <si>
    <t>0.00042859591976684384</t>
  </si>
  <si>
    <t>0.001328647351277216</t>
  </si>
  <si>
    <t>0.0022286987827875877</t>
  </si>
  <si>
    <t>0.008143322475570033</t>
  </si>
  <si>
    <t>0.000900051431510372</t>
  </si>
  <si>
    <t>0.00518601062917881</t>
  </si>
  <si>
    <t>0.002400137150694325</t>
  </si>
  <si>
    <t>0.0030430310303445913</t>
  </si>
  <si>
    <t>4.2859591976684385e-05</t>
  </si>
  <si>
    <t>0.01380078861649237</t>
  </si>
  <si>
    <t>0.0006000342876735813</t>
  </si>
  <si>
    <t>0.009257671866963826</t>
  </si>
  <si>
    <t>0.002785873478484485</t>
  </si>
  <si>
    <t>0.025201440082290416</t>
  </si>
  <si>
    <t>0.0015429453111606378</t>
  </si>
  <si>
    <t>0.004757414709411966</t>
  </si>
  <si>
    <t>0.010243442482427567</t>
  </si>
  <si>
    <t>0.00557174695696897</t>
  </si>
  <si>
    <t>0.005957483284759129</t>
  </si>
  <si>
    <t>0.0009429110234870564</t>
  </si>
  <si>
    <t>0.004885993485342019</t>
  </si>
  <si>
    <t>0.00030001714383679065</t>
  </si>
  <si>
    <t>0.0019286816389507972</t>
  </si>
  <si>
    <t>0.0015858049031373222</t>
  </si>
  <si>
    <t>0.007328990228013029</t>
  </si>
  <si>
    <t>0.006686096348362764</t>
  </si>
  <si>
    <t>0.0038573632779015945</t>
  </si>
  <si>
    <t>0.003943082461854963</t>
  </si>
  <si>
    <t>0.007843305331733242</t>
  </si>
  <si>
    <t>0.0025287159266243787</t>
  </si>
  <si>
    <t>0.0026144351105777475</t>
  </si>
  <si>
    <t>0.0016286644951140066</t>
  </si>
  <si>
    <t>0.0003428767358134751</t>
  </si>
  <si>
    <t>0.0024429967426710096</t>
  </si>
  <si>
    <t>0.001671524087090691</t>
  </si>
  <si>
    <t>0.009214812274987142</t>
  </si>
  <si>
    <t>0.00025715755186010627</t>
  </si>
  <si>
    <t>0.0012857877593005316</t>
  </si>
  <si>
    <t>0.0027430138865078006</t>
  </si>
  <si>
    <t>0.0009857706154637407</t>
  </si>
  <si>
    <t>0.0004714555117435282</t>
  </si>
  <si>
    <t>0.003685924909994857</t>
  </si>
  <si>
    <t>0.002914452254414538</t>
  </si>
  <si>
    <t>0.0082290416595234</t>
  </si>
  <si>
    <t>0.007200411452082976</t>
  </si>
  <si>
    <t>0.008614777987313561</t>
  </si>
  <si>
    <t>0.005271729813132179</t>
  </si>
  <si>
    <t>0.0008571918395336877</t>
  </si>
  <si>
    <t>0.0028715926624378538</t>
  </si>
  <si>
    <t>0.007714726555803189</t>
  </si>
  <si>
    <t>0.0019715412309274814</t>
  </si>
  <si>
    <t>0.0020144008229041658</t>
  </si>
  <si>
    <t>0.006043202468712498</t>
  </si>
  <si>
    <t>0.0064717983884793415</t>
  </si>
  <si>
    <t>0.0011143493913937938</t>
  </si>
  <si>
    <t>0.002571575518601063</t>
  </si>
  <si>
    <t>0.0012000685753471626</t>
  </si>
  <si>
    <t>0.009814846562660724</t>
  </si>
  <si>
    <t>0.0023144179667409564</t>
  </si>
  <si>
    <t>0.0017143836790673753</t>
  </si>
  <si>
    <t>0.010200582890450883</t>
  </si>
  <si>
    <t>0.0030858906223212757</t>
  </si>
  <si>
    <t>0.0036042438702472207</t>
  </si>
  <si>
    <t>0.010508147621706685</t>
  </si>
  <si>
    <t>0.007310015736839434</t>
  </si>
  <si>
    <t>0.0017767399360373623</t>
  </si>
  <si>
    <t>0.0004061119853799685</t>
  </si>
  <si>
    <t>0.0011675719579674095</t>
  </si>
  <si>
    <t>0.0004568759835524646</t>
  </si>
  <si>
    <t>0.001573683943347378</t>
  </si>
  <si>
    <t>0.008629879689324332</t>
  </si>
  <si>
    <t>0.00010152799634499213</t>
  </si>
  <si>
    <t>0.0012183359561399056</t>
  </si>
  <si>
    <t>0.0013198639524848977</t>
  </si>
  <si>
    <t>0.0012690999543124015</t>
  </si>
  <si>
    <t>0.006447027767907</t>
  </si>
  <si>
    <t>0.0006599319762424489</t>
  </si>
  <si>
    <t>0.000812223970759937</t>
  </si>
  <si>
    <t>0.00035534798720747245</t>
  </si>
  <si>
    <t>0.0011168079597949135</t>
  </si>
  <si>
    <t>0.002385907914107315</t>
  </si>
  <si>
    <t>0.005888623788009544</t>
  </si>
  <si>
    <t>0.0005076399817249607</t>
  </si>
  <si>
    <t>0.005380983806284583</t>
  </si>
  <si>
    <t>0.002995075892177268</t>
  </si>
  <si>
    <t>0.0022843799177623227</t>
  </si>
  <si>
    <t>0.013706279506573937</t>
  </si>
  <si>
    <t>0.000761459972587441</t>
  </si>
  <si>
    <t>0.007360779735011929</t>
  </si>
  <si>
    <t>0.002538199908624803</t>
  </si>
  <si>
    <t>0.02385907914107315</t>
  </si>
  <si>
    <t>0.003655007868419717</t>
  </si>
  <si>
    <t>0.0051779278135945985</t>
  </si>
  <si>
    <t>0.009645159652774252</t>
  </si>
  <si>
    <t>0.004467231839179654</t>
  </si>
  <si>
    <t>0.004162647850144677</t>
  </si>
  <si>
    <t>0.0006091679780699528</t>
  </si>
  <si>
    <t>0.0053302198081120866</t>
  </si>
  <si>
    <t>0.002233615919589827</t>
  </si>
  <si>
    <t>0.0024874359104523074</t>
  </si>
  <si>
    <t>0.004314939844662166</t>
  </si>
  <si>
    <t>0.007969947713081882</t>
  </si>
  <si>
    <t>0.006345499771562008</t>
  </si>
  <si>
    <t>0.0008629879689324332</t>
  </si>
  <si>
    <t>0.004670287831869638</t>
  </si>
  <si>
    <t>0.00020305599268998425</t>
  </si>
  <si>
    <t>0.005127163815422103</t>
  </si>
  <si>
    <t>0.007005431747804457</t>
  </si>
  <si>
    <t>0.003705771866592213</t>
  </si>
  <si>
    <t>0.0010152799634499214</t>
  </si>
  <si>
    <t>0.003045839890349764</t>
  </si>
  <si>
    <t>5.076399817249606e-05</t>
  </si>
  <si>
    <t>0.001624447941519874</t>
  </si>
  <si>
    <t>0.0013706279506573939</t>
  </si>
  <si>
    <t>0.00025381999086248035</t>
  </si>
  <si>
    <t>0.0020813239250723386</t>
  </si>
  <si>
    <t>0.0010660439616224174</t>
  </si>
  <si>
    <t>0.0009137519671049292</t>
  </si>
  <si>
    <t>0.003959591857454693</t>
  </si>
  <si>
    <t>0.010152799634499212</t>
  </si>
  <si>
    <t>0.005736331793492056</t>
  </si>
  <si>
    <t>0.008223767703944363</t>
  </si>
  <si>
    <t>0.006091679780699528</t>
  </si>
  <si>
    <t>0.007919183714909387</t>
  </si>
  <si>
    <t>0.00309660388852226</t>
  </si>
  <si>
    <t>0.0019797959287273467</t>
  </si>
  <si>
    <t>0.006040915782527032</t>
  </si>
  <si>
    <t>0.0027412559013147877</t>
  </si>
  <si>
    <t>0.006700847758769481</t>
  </si>
  <si>
    <t>0.008173003705771866</t>
  </si>
  <si>
    <t>0.0027920198994872835</t>
  </si>
  <si>
    <t>0.0018275039342098584</t>
  </si>
  <si>
    <t>0.009442103660084269</t>
  </si>
  <si>
    <t>0.0021320879232448347</t>
  </si>
  <si>
    <t>0.004264175846489669</t>
  </si>
  <si>
    <t>0.003147367886694756</t>
  </si>
  <si>
    <t>0.0037376048817696415</t>
  </si>
  <si>
    <t>0.009458428680396643</t>
  </si>
  <si>
    <t>0.006407322654462242</t>
  </si>
  <si>
    <t>0.001983218916857361</t>
  </si>
  <si>
    <t>0.00038138825324180017</t>
  </si>
  <si>
    <t>0.0012204424103737605</t>
  </si>
  <si>
    <t>0.0013729977116704805</t>
  </si>
  <si>
    <t>0.007017543859649123</t>
  </si>
  <si>
    <t>0.0006102212051868803</t>
  </si>
  <si>
    <t>0.0009916094584286805</t>
  </si>
  <si>
    <t>0.0012967200610221204</t>
  </si>
  <si>
    <t>0.0009153318077803204</t>
  </si>
  <si>
    <t>0.006331045003813883</t>
  </si>
  <si>
    <t>0.0004576659038901602</t>
  </si>
  <si>
    <t>0.0002288329519450801</t>
  </si>
  <si>
    <t>0.0007627765064836003</t>
  </si>
  <si>
    <t>0.006102212051868803</t>
  </si>
  <si>
    <t>0.0005339435545385202</t>
  </si>
  <si>
    <t>0.0064836003051106025</t>
  </si>
  <si>
    <t>0.002974828375286041</t>
  </si>
  <si>
    <t>0.0021357742181540807</t>
  </si>
  <si>
    <t>0.016018306636155607</t>
  </si>
  <si>
    <t>0.00030511060259344014</t>
  </si>
  <si>
    <t>0.002745995423340961</t>
  </si>
  <si>
    <t>0.02440884820747521</t>
  </si>
  <si>
    <t>0.0035850495804729213</t>
  </si>
  <si>
    <t>0.0040427154843630814</t>
  </si>
  <si>
    <t>0.008314263920671243</t>
  </si>
  <si>
    <t>0.004652936689549962</t>
  </si>
  <si>
    <t>0.005339435545385202</t>
  </si>
  <si>
    <t>0.005873379099923723</t>
  </si>
  <si>
    <t>0.002059496567505721</t>
  </si>
  <si>
    <t>0.007398932112890923</t>
  </si>
  <si>
    <t>0.0006864988558352403</t>
  </si>
  <si>
    <t>0.005110602593440122</t>
  </si>
  <si>
    <t>0.005034324942791762</t>
  </si>
  <si>
    <t>0.0014492753623188406</t>
  </si>
  <si>
    <t>0.009077040427154844</t>
  </si>
  <si>
    <t>0.002593440122044241</t>
  </si>
  <si>
    <t>0.0016018306636155606</t>
  </si>
  <si>
    <t>0.0011441647597254005</t>
  </si>
  <si>
    <t>0.002288329519450801</t>
  </si>
  <si>
    <t>0.0038901601830663617</t>
  </si>
  <si>
    <t>0.00015255530129672007</t>
  </si>
  <si>
    <t>0.0010678871090770404</t>
  </si>
  <si>
    <t>0.009763539282990084</t>
  </si>
  <si>
    <t>0.004195270785659802</t>
  </si>
  <si>
    <t>0.0035087719298245615</t>
  </si>
  <si>
    <t>0.009534706331045004</t>
  </si>
  <si>
    <t>0.006788710907704043</t>
  </si>
  <si>
    <t>0.009153318077803204</t>
  </si>
  <si>
    <t>0.005415713196033563</t>
  </si>
  <si>
    <t>0.0008390541571319603</t>
  </si>
  <si>
    <t>0.002898550724637681</t>
  </si>
  <si>
    <t>0.006636155606407322</t>
  </si>
  <si>
    <t>0.0030511060259344014</t>
  </si>
  <si>
    <t>0.007551487414187643</t>
  </si>
  <si>
    <t>0.002212051868802441</t>
  </si>
  <si>
    <t>0.009000762776506483</t>
  </si>
  <si>
    <t>0.008619374523264684</t>
  </si>
  <si>
    <t>0.0019069412662090007</t>
  </si>
  <si>
    <t>0.010068649885583524</t>
  </si>
  <si>
    <t>0.002517162471395881</t>
  </si>
  <si>
    <t>0.003432494279176201</t>
  </si>
  <si>
    <t>time_group_id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</si>
</sst>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0_);[Red]\(0.00\)"/>
    <numFmt numFmtId="177" formatCode="0.0000_ "/>
    <numFmt numFmtId="178" formatCode="0.00_ "/>
  </numFmts>
  <fonts count="19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b/>
      <sz val="1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9.75"/>
      <color theme="1"/>
      <name val="var(--jp-code-font-family)"/>
      <family val="1"/>
    </font>
    <font>
      <sz val="11"/>
      <color theme="1"/>
      <name val="Arial"/>
      <family val="2"/>
    </font>
    <font>
      <sz val="10"/>
      <color theme="1"/>
      <name val="var(--jp-code-font-family)"/>
      <family val="1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center"/>
    </xf>
    <xf numFmtId="0" fontId="15" fillId="0" borderId="0"/>
    <xf numFmtId="0" fontId="15" fillId="0" borderId="0">
      <alignment vertical="center"/>
    </xf>
    <xf numFmtId="0" fontId="17" fillId="0" borderId="0">
      <alignment vertical="center"/>
    </xf>
    <xf numFmtId="0" fontId="1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</cellStyleXfs>
  <cellXfs count="39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top"/>
    </xf>
    <xf numFmtId="0" fontId="7" fillId="0" borderId="0" xfId="0" applyFont="1">
      <alignment vertical="center"/>
    </xf>
    <xf numFmtId="176" fontId="5" fillId="0" borderId="0" xfId="0" applyNumberFormat="1" applyFont="1">
      <alignment vertical="center"/>
    </xf>
    <xf numFmtId="0" fontId="4" fillId="0" borderId="0" xfId="0" applyFont="1" applyAlignment="1"/>
    <xf numFmtId="0" fontId="8" fillId="0" borderId="0" xfId="0" applyFont="1" applyAlignment="1"/>
    <xf numFmtId="0" fontId="5" fillId="0" borderId="0" xfId="0" applyFont="1" applyAlignment="1"/>
    <xf numFmtId="0" fontId="7" fillId="0" borderId="0" xfId="0" applyFont="1" applyAlignment="1"/>
    <xf numFmtId="176" fontId="7" fillId="0" borderId="0" xfId="0" applyNumberFormat="1" applyFont="1">
      <alignment vertical="center"/>
    </xf>
    <xf numFmtId="0" fontId="0" fillId="0" borderId="0" xfId="0" applyAlignment="1"/>
    <xf numFmtId="0" fontId="11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11" fontId="13" fillId="0" borderId="0" xfId="0" applyNumberFormat="1" applyFont="1" applyAlignment="1">
      <alignment horizontal="left" vertical="center"/>
    </xf>
    <xf numFmtId="11" fontId="11" fillId="0" borderId="0" xfId="0" applyNumberFormat="1" applyFont="1" applyAlignment="1">
      <alignment horizontal="left" vertical="center"/>
    </xf>
    <xf numFmtId="0" fontId="15" fillId="0" borderId="0" xfId="1"/>
    <xf numFmtId="178" fontId="15" fillId="0" borderId="0" xfId="1" applyNumberFormat="1"/>
    <xf numFmtId="0" fontId="2" fillId="0" borderId="0" xfId="1" applyFont="1"/>
    <xf numFmtId="0" fontId="2" fillId="0" borderId="0" xfId="1" applyFont="1" applyAlignment="1">
      <alignment horizontal="center"/>
    </xf>
    <xf numFmtId="0" fontId="15" fillId="0" borderId="0" xfId="1" applyAlignment="1">
      <alignment vertical="center"/>
    </xf>
    <xf numFmtId="178" fontId="15" fillId="0" borderId="0" xfId="1" quotePrefix="1" applyNumberFormat="1"/>
    <xf numFmtId="0" fontId="17" fillId="0" borderId="0" xfId="3">
      <alignment vertical="center"/>
    </xf>
    <xf numFmtId="0" fontId="9" fillId="0" borderId="1" xfId="3" applyFont="1" applyBorder="1" applyAlignment="1">
      <alignment horizontal="center" vertical="top"/>
    </xf>
    <xf numFmtId="0" fontId="17" fillId="0" borderId="0" xfId="3" applyAlignment="1"/>
    <xf numFmtId="0" fontId="14" fillId="0" borderId="0" xfId="3" applyFont="1" applyAlignment="1"/>
    <xf numFmtId="0" fontId="18" fillId="0" borderId="1" xfId="0" applyFont="1" applyBorder="1" applyAlignment="1">
      <alignment horizontal="center" vertical="top"/>
    </xf>
    <xf numFmtId="177" fontId="10" fillId="0" borderId="0" xfId="0" applyNumberFormat="1" applyFont="1" applyAlignment="1"/>
    <xf numFmtId="177" fontId="3" fillId="0" borderId="0" xfId="1" applyNumberFormat="1" applyFont="1"/>
    <xf numFmtId="0" fontId="3" fillId="0" borderId="0" xfId="1" applyFont="1"/>
    <xf numFmtId="0" fontId="10" fillId="0" borderId="0" xfId="0" applyFont="1" applyAlignment="1"/>
    <xf numFmtId="0" fontId="3" fillId="0" borderId="0" xfId="0" applyFont="1" applyAlignment="1"/>
    <xf numFmtId="0" fontId="15" fillId="2" borderId="0" xfId="1" applyFill="1"/>
    <xf numFmtId="0" fontId="15" fillId="2" borderId="0" xfId="1" applyFill="1" applyAlignment="1">
      <alignment vertical="center"/>
    </xf>
    <xf numFmtId="177" fontId="3" fillId="2" borderId="0" xfId="1" applyNumberFormat="1" applyFont="1" applyFill="1"/>
    <xf numFmtId="0" fontId="3" fillId="2" borderId="0" xfId="0" applyFont="1" applyFill="1" applyAlignment="1"/>
    <xf numFmtId="178" fontId="15" fillId="2" borderId="0" xfId="1" quotePrefix="1" applyNumberFormat="1" applyFill="1"/>
    <xf numFmtId="0" fontId="1" fillId="0" borderId="0" xfId="4"/>
    <xf numFmtId="0" fontId="14" fillId="0" borderId="0" xfId="7">
      <alignment vertical="center"/>
    </xf>
    <xf numFmtId="0" fontId="14" fillId="0" borderId="0" xfId="7" quotePrefix="1">
      <alignment vertical="center"/>
    </xf>
  </cellXfs>
  <cellStyles count="8">
    <cellStyle name="常规" xfId="0" builtinId="0"/>
    <cellStyle name="常规 2" xfId="1" xr:uid="{00000000-0005-0000-0000-000031000000}"/>
    <cellStyle name="常规 2 2" xfId="6" xr:uid="{D304C68A-0391-4E25-B03E-5347C520DA84}"/>
    <cellStyle name="常规 3" xfId="2" xr:uid="{00000000-0005-0000-0000-000032000000}"/>
    <cellStyle name="常规 3 2" xfId="7" xr:uid="{B4F603A9-2B88-4C57-979A-B6AAEC848A9D}"/>
    <cellStyle name="常规 4" xfId="3" xr:uid="{FD2EEDEA-796D-4FC0-88B4-25420CAD0428}"/>
    <cellStyle name="常规 5" xfId="4" xr:uid="{060F00DB-9BBD-4D8F-BC73-8AB50AED401C}"/>
    <cellStyle name="常规 6" xfId="5" xr:uid="{396D1BBD-FAF1-4F07-AF25-04646FD00F7E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8824-C966-4C5A-B348-E3FE6A7DF3D0}">
  <dimension ref="A1:DS37"/>
  <sheetViews>
    <sheetView tabSelected="1" workbookViewId="0">
      <selection activeCell="B2" sqref="B2"/>
    </sheetView>
  </sheetViews>
  <sheetFormatPr defaultColWidth="8.7265625" defaultRowHeight="14"/>
  <cols>
    <col min="1" max="1" width="8.7265625" style="37"/>
    <col min="2" max="2" width="16" style="37" customWidth="1"/>
    <col min="3" max="3" width="17.1796875" style="37" customWidth="1"/>
    <col min="4" max="16384" width="8.7265625" style="37"/>
  </cols>
  <sheetData>
    <row r="1" spans="1:123">
      <c r="A1" s="37" t="s">
        <v>1942</v>
      </c>
      <c r="B1" s="37">
        <v>1</v>
      </c>
      <c r="C1" s="37">
        <v>2</v>
      </c>
      <c r="D1" s="37">
        <v>3</v>
      </c>
      <c r="E1" s="37">
        <v>4</v>
      </c>
      <c r="F1" s="37">
        <v>5</v>
      </c>
      <c r="G1" s="37">
        <v>6</v>
      </c>
      <c r="H1" s="37">
        <v>7</v>
      </c>
      <c r="I1" s="37">
        <v>8</v>
      </c>
      <c r="J1" s="37">
        <v>9</v>
      </c>
      <c r="K1" s="37">
        <v>10</v>
      </c>
      <c r="L1" s="37">
        <v>11</v>
      </c>
      <c r="M1" s="37">
        <v>12</v>
      </c>
      <c r="N1" s="37">
        <v>13</v>
      </c>
      <c r="O1" s="37">
        <v>14</v>
      </c>
      <c r="P1" s="37">
        <v>15</v>
      </c>
      <c r="Q1" s="37">
        <v>16</v>
      </c>
      <c r="R1" s="37">
        <v>17</v>
      </c>
      <c r="S1" s="37">
        <v>18</v>
      </c>
      <c r="T1" s="37">
        <v>19</v>
      </c>
      <c r="U1" s="37">
        <v>20</v>
      </c>
      <c r="V1" s="37">
        <v>21</v>
      </c>
      <c r="W1" s="37">
        <v>22</v>
      </c>
      <c r="X1" s="37">
        <v>23</v>
      </c>
      <c r="Y1" s="37">
        <v>24</v>
      </c>
      <c r="Z1" s="37">
        <v>25</v>
      </c>
      <c r="AA1" s="37">
        <v>26</v>
      </c>
      <c r="AB1" s="37">
        <v>27</v>
      </c>
      <c r="AC1" s="37">
        <v>28</v>
      </c>
      <c r="AD1" s="37">
        <v>29</v>
      </c>
      <c r="AE1" s="37">
        <v>30</v>
      </c>
      <c r="AF1" s="37">
        <v>31</v>
      </c>
      <c r="AG1" s="37">
        <v>32</v>
      </c>
      <c r="AH1" s="37">
        <v>33</v>
      </c>
      <c r="AI1" s="37">
        <v>34</v>
      </c>
      <c r="AJ1" s="37">
        <v>35</v>
      </c>
      <c r="AK1" s="37">
        <v>36</v>
      </c>
      <c r="AL1" s="37">
        <v>37</v>
      </c>
      <c r="AM1" s="37">
        <v>38</v>
      </c>
      <c r="AN1" s="37">
        <v>39</v>
      </c>
      <c r="AO1" s="37">
        <v>40</v>
      </c>
      <c r="AP1" s="37">
        <v>41</v>
      </c>
      <c r="AQ1" s="37">
        <v>42</v>
      </c>
      <c r="AR1" s="37">
        <v>43</v>
      </c>
      <c r="AS1" s="37">
        <v>44</v>
      </c>
      <c r="AT1" s="37">
        <v>45</v>
      </c>
      <c r="AU1" s="37">
        <v>46</v>
      </c>
      <c r="AV1" s="37">
        <v>47</v>
      </c>
      <c r="AW1" s="37">
        <v>48</v>
      </c>
      <c r="AX1" s="37">
        <v>49</v>
      </c>
      <c r="AY1" s="37">
        <v>50</v>
      </c>
      <c r="AZ1" s="37">
        <v>51</v>
      </c>
      <c r="BA1" s="37">
        <v>52</v>
      </c>
      <c r="BB1" s="37">
        <v>53</v>
      </c>
      <c r="BC1" s="37">
        <v>54</v>
      </c>
      <c r="BD1" s="37">
        <v>55</v>
      </c>
      <c r="BE1" s="37">
        <v>56</v>
      </c>
      <c r="BF1" s="37">
        <v>57</v>
      </c>
      <c r="BG1" s="37">
        <v>58</v>
      </c>
      <c r="BH1" s="37">
        <v>59</v>
      </c>
      <c r="BI1" s="37">
        <v>60</v>
      </c>
      <c r="BJ1" s="37">
        <v>61</v>
      </c>
      <c r="BK1" s="37">
        <v>62</v>
      </c>
      <c r="BL1" s="37">
        <v>63</v>
      </c>
      <c r="BM1" s="37">
        <v>64</v>
      </c>
      <c r="BN1" s="37">
        <v>65</v>
      </c>
      <c r="BO1" s="37">
        <v>66</v>
      </c>
      <c r="BP1" s="37">
        <v>67</v>
      </c>
      <c r="BQ1" s="37">
        <v>68</v>
      </c>
      <c r="BR1" s="37">
        <v>69</v>
      </c>
      <c r="BS1" s="37">
        <v>70</v>
      </c>
      <c r="BT1" s="37">
        <v>71</v>
      </c>
      <c r="BU1" s="37">
        <v>72</v>
      </c>
      <c r="BV1" s="37">
        <v>73</v>
      </c>
      <c r="BW1" s="37">
        <v>74</v>
      </c>
      <c r="BX1" s="37">
        <v>75</v>
      </c>
      <c r="BY1" s="37">
        <v>76</v>
      </c>
      <c r="BZ1" s="37">
        <v>77</v>
      </c>
      <c r="CA1" s="37">
        <v>78</v>
      </c>
      <c r="CB1" s="37">
        <v>79</v>
      </c>
      <c r="CC1" s="37">
        <v>80</v>
      </c>
      <c r="CD1" s="37">
        <v>81</v>
      </c>
      <c r="CE1" s="37">
        <v>82</v>
      </c>
      <c r="CF1" s="37">
        <v>83</v>
      </c>
      <c r="CG1" s="37">
        <v>84</v>
      </c>
      <c r="CH1" s="37">
        <v>85</v>
      </c>
      <c r="CI1" s="37">
        <v>86</v>
      </c>
      <c r="CJ1" s="37">
        <v>87</v>
      </c>
      <c r="CK1" s="37">
        <v>88</v>
      </c>
      <c r="CL1" s="37">
        <v>89</v>
      </c>
      <c r="CM1" s="37">
        <v>90</v>
      </c>
      <c r="CN1" s="37">
        <v>91</v>
      </c>
      <c r="CO1" s="37">
        <v>92</v>
      </c>
      <c r="CP1" s="37">
        <v>93</v>
      </c>
      <c r="CQ1" s="37">
        <v>94</v>
      </c>
      <c r="CR1" s="37">
        <v>95</v>
      </c>
      <c r="CS1" s="37">
        <v>96</v>
      </c>
      <c r="CT1" s="37">
        <v>97</v>
      </c>
      <c r="CU1" s="37">
        <v>98</v>
      </c>
      <c r="CV1" s="37">
        <v>99</v>
      </c>
      <c r="CW1" s="37">
        <v>100</v>
      </c>
      <c r="CX1" s="37">
        <v>101</v>
      </c>
      <c r="CY1" s="37">
        <v>102</v>
      </c>
      <c r="CZ1" s="37">
        <v>103</v>
      </c>
      <c r="DA1" s="37">
        <v>104</v>
      </c>
      <c r="DB1" s="37">
        <v>105</v>
      </c>
      <c r="DC1" s="37">
        <v>106</v>
      </c>
      <c r="DD1" s="37">
        <v>107</v>
      </c>
      <c r="DE1" s="37">
        <v>108</v>
      </c>
      <c r="DF1" s="37">
        <v>109</v>
      </c>
      <c r="DG1" s="37">
        <v>110</v>
      </c>
      <c r="DH1" s="37">
        <v>111</v>
      </c>
      <c r="DI1" s="37">
        <v>112</v>
      </c>
      <c r="DJ1" s="37">
        <v>113</v>
      </c>
      <c r="DK1" s="37">
        <v>114</v>
      </c>
      <c r="DL1" s="37">
        <v>115</v>
      </c>
      <c r="DM1" s="37">
        <v>116</v>
      </c>
      <c r="DN1" s="37">
        <v>117</v>
      </c>
      <c r="DO1" s="37">
        <v>118</v>
      </c>
      <c r="DP1" s="37">
        <v>119</v>
      </c>
      <c r="DQ1" s="37">
        <v>120</v>
      </c>
      <c r="DR1" s="37">
        <v>121</v>
      </c>
      <c r="DS1" s="37">
        <v>122</v>
      </c>
    </row>
    <row r="2" spans="1:123">
      <c r="A2" s="37">
        <v>1</v>
      </c>
      <c r="B2" s="38" t="s">
        <v>1903</v>
      </c>
      <c r="C2" s="38" t="s">
        <v>1941</v>
      </c>
      <c r="D2" s="38" t="s">
        <v>1931</v>
      </c>
      <c r="E2" s="38" t="s">
        <v>1909</v>
      </c>
      <c r="F2" s="38" t="s">
        <v>1886</v>
      </c>
      <c r="G2" s="38" t="s">
        <v>1912</v>
      </c>
      <c r="H2" s="38" t="s">
        <v>1940</v>
      </c>
      <c r="I2" s="38" t="s">
        <v>1939</v>
      </c>
      <c r="J2" s="38" t="s">
        <v>1900</v>
      </c>
      <c r="K2" s="38" t="s">
        <v>1914</v>
      </c>
      <c r="L2" s="38" t="s">
        <v>1891</v>
      </c>
      <c r="M2" s="38" t="s">
        <v>1887</v>
      </c>
      <c r="N2" s="38" t="s">
        <v>1933</v>
      </c>
      <c r="O2" s="38" t="s">
        <v>1938</v>
      </c>
      <c r="P2" s="38" t="s">
        <v>1916</v>
      </c>
      <c r="Q2" s="38" t="s">
        <v>1937</v>
      </c>
      <c r="R2" s="38" t="s">
        <v>1893</v>
      </c>
      <c r="S2" s="38" t="s">
        <v>1919</v>
      </c>
      <c r="T2" s="38" t="s">
        <v>1883</v>
      </c>
      <c r="U2" s="38" t="s">
        <v>1922</v>
      </c>
      <c r="V2" s="38" t="s">
        <v>1936</v>
      </c>
      <c r="W2" s="38" t="s">
        <v>1895</v>
      </c>
      <c r="X2" s="38" t="s">
        <v>1903</v>
      </c>
      <c r="Y2" s="38" t="s">
        <v>1935</v>
      </c>
      <c r="Z2" s="38" t="s">
        <v>1934</v>
      </c>
      <c r="AA2" s="38" t="s">
        <v>1895</v>
      </c>
      <c r="AB2" s="38" t="s">
        <v>1888</v>
      </c>
      <c r="AC2" s="38" t="s">
        <v>1933</v>
      </c>
      <c r="AD2" s="38" t="s">
        <v>1932</v>
      </c>
      <c r="AE2" s="38" t="s">
        <v>1931</v>
      </c>
      <c r="AF2" s="38" t="s">
        <v>1918</v>
      </c>
      <c r="AG2" s="38" t="s">
        <v>1930</v>
      </c>
      <c r="AH2" s="38" t="s">
        <v>1930</v>
      </c>
      <c r="AI2" s="38" t="s">
        <v>1929</v>
      </c>
      <c r="AJ2" s="38" t="s">
        <v>1928</v>
      </c>
      <c r="AK2" s="38" t="s">
        <v>1927</v>
      </c>
      <c r="AL2" s="38" t="s">
        <v>1893</v>
      </c>
      <c r="AM2" s="38" t="s">
        <v>1926</v>
      </c>
      <c r="AN2" s="38" t="s">
        <v>1925</v>
      </c>
      <c r="AO2" s="38" t="s">
        <v>1893</v>
      </c>
      <c r="AP2" s="38" t="s">
        <v>1924</v>
      </c>
      <c r="AQ2" s="38" t="s">
        <v>1887</v>
      </c>
      <c r="AR2" s="38" t="s">
        <v>1918</v>
      </c>
      <c r="AS2" s="38" t="s">
        <v>1889</v>
      </c>
      <c r="AT2" s="38" t="s">
        <v>1891</v>
      </c>
      <c r="AU2" s="38" t="s">
        <v>1888</v>
      </c>
      <c r="AV2" s="38" t="s">
        <v>1909</v>
      </c>
      <c r="AW2" s="38" t="s">
        <v>1883</v>
      </c>
      <c r="AX2" s="38" t="s">
        <v>1900</v>
      </c>
      <c r="AY2" s="38" t="s">
        <v>1886</v>
      </c>
      <c r="AZ2" s="38" t="s">
        <v>1914</v>
      </c>
      <c r="BA2" s="37">
        <v>0</v>
      </c>
      <c r="BB2" s="38" t="s">
        <v>1882</v>
      </c>
      <c r="BC2" s="38" t="s">
        <v>1923</v>
      </c>
      <c r="BD2" s="38" t="s">
        <v>1882</v>
      </c>
      <c r="BE2" s="38" t="s">
        <v>1922</v>
      </c>
      <c r="BF2" s="38" t="s">
        <v>1888</v>
      </c>
      <c r="BG2" s="38" t="s">
        <v>1884</v>
      </c>
      <c r="BH2" s="38" t="s">
        <v>1921</v>
      </c>
      <c r="BI2" s="38" t="s">
        <v>1884</v>
      </c>
      <c r="BJ2" s="38" t="s">
        <v>1920</v>
      </c>
      <c r="BK2" s="38" t="s">
        <v>1919</v>
      </c>
      <c r="BL2" s="38" t="s">
        <v>1911</v>
      </c>
      <c r="BM2" s="38" t="s">
        <v>1918</v>
      </c>
      <c r="BN2" s="38" t="s">
        <v>1917</v>
      </c>
      <c r="BO2" s="38" t="s">
        <v>1916</v>
      </c>
      <c r="BP2" s="38" t="s">
        <v>1893</v>
      </c>
      <c r="BQ2" s="38" t="s">
        <v>1915</v>
      </c>
      <c r="BR2" s="38" t="s">
        <v>1914</v>
      </c>
      <c r="BS2" s="38" t="s">
        <v>1913</v>
      </c>
      <c r="BT2" s="38" t="s">
        <v>1886</v>
      </c>
      <c r="BU2" s="38" t="s">
        <v>1912</v>
      </c>
      <c r="BV2" s="38" t="s">
        <v>1911</v>
      </c>
      <c r="BW2" s="38" t="s">
        <v>1888</v>
      </c>
      <c r="BX2" s="38" t="s">
        <v>1910</v>
      </c>
      <c r="BY2" s="38" t="s">
        <v>1910</v>
      </c>
      <c r="BZ2" s="38" t="s">
        <v>1903</v>
      </c>
      <c r="CA2" s="38" t="s">
        <v>1909</v>
      </c>
      <c r="CB2" s="38" t="s">
        <v>1881</v>
      </c>
      <c r="CC2" s="38" t="s">
        <v>1887</v>
      </c>
      <c r="CD2" s="38" t="s">
        <v>1908</v>
      </c>
      <c r="CE2" s="38" t="s">
        <v>1881</v>
      </c>
      <c r="CF2" s="38" t="s">
        <v>1886</v>
      </c>
      <c r="CG2" s="38" t="s">
        <v>1907</v>
      </c>
      <c r="CH2" s="38" t="s">
        <v>1882</v>
      </c>
      <c r="CI2" s="38" t="s">
        <v>1906</v>
      </c>
      <c r="CJ2" s="38" t="s">
        <v>1905</v>
      </c>
      <c r="CK2" s="38" t="s">
        <v>1904</v>
      </c>
      <c r="CL2" s="38" t="s">
        <v>1903</v>
      </c>
      <c r="CM2" s="38" t="s">
        <v>1902</v>
      </c>
      <c r="CN2" s="38" t="s">
        <v>1901</v>
      </c>
      <c r="CO2" s="38" t="s">
        <v>1885</v>
      </c>
      <c r="CP2" s="38" t="s">
        <v>1900</v>
      </c>
      <c r="CQ2" s="38" t="s">
        <v>1899</v>
      </c>
      <c r="CR2" s="38" t="s">
        <v>1892</v>
      </c>
      <c r="CS2" s="38" t="s">
        <v>1898</v>
      </c>
      <c r="CT2" s="38" t="s">
        <v>1897</v>
      </c>
      <c r="CU2" s="38" t="s">
        <v>1896</v>
      </c>
      <c r="CV2" s="38" t="s">
        <v>1893</v>
      </c>
      <c r="CW2" s="38" t="s">
        <v>1895</v>
      </c>
      <c r="CX2" s="38" t="s">
        <v>1894</v>
      </c>
      <c r="CY2" s="38" t="s">
        <v>1881</v>
      </c>
      <c r="CZ2" s="38" t="s">
        <v>1893</v>
      </c>
      <c r="DA2" s="38" t="s">
        <v>1892</v>
      </c>
      <c r="DB2" s="38" t="s">
        <v>1891</v>
      </c>
      <c r="DC2" s="38" t="s">
        <v>1882</v>
      </c>
      <c r="DD2" s="38" t="s">
        <v>1890</v>
      </c>
      <c r="DE2" s="38" t="s">
        <v>1889</v>
      </c>
      <c r="DF2" s="38" t="s">
        <v>1888</v>
      </c>
      <c r="DG2" s="38" t="s">
        <v>1887</v>
      </c>
      <c r="DH2" s="38" t="s">
        <v>1886</v>
      </c>
      <c r="DI2" s="37">
        <v>0</v>
      </c>
      <c r="DJ2" s="38" t="s">
        <v>1885</v>
      </c>
      <c r="DK2" s="37">
        <v>0</v>
      </c>
      <c r="DL2" s="38" t="s">
        <v>1884</v>
      </c>
      <c r="DM2" s="38" t="s">
        <v>1882</v>
      </c>
      <c r="DN2" s="38" t="s">
        <v>1883</v>
      </c>
      <c r="DO2" s="38" t="s">
        <v>1882</v>
      </c>
      <c r="DP2" s="38" t="s">
        <v>1881</v>
      </c>
      <c r="DQ2" s="38" t="s">
        <v>1880</v>
      </c>
      <c r="DR2" s="38" t="s">
        <v>1879</v>
      </c>
      <c r="DS2" s="38" t="s">
        <v>1878</v>
      </c>
    </row>
    <row r="3" spans="1:123">
      <c r="A3" s="37">
        <v>2</v>
      </c>
      <c r="B3" s="38" t="s">
        <v>1877</v>
      </c>
      <c r="C3" s="38" t="s">
        <v>1833</v>
      </c>
      <c r="D3" s="38" t="s">
        <v>1869</v>
      </c>
      <c r="E3" s="38" t="s">
        <v>1875</v>
      </c>
      <c r="F3" s="38" t="s">
        <v>1838</v>
      </c>
      <c r="G3" s="38" t="s">
        <v>1876</v>
      </c>
      <c r="H3" s="38" t="s">
        <v>1875</v>
      </c>
      <c r="I3" s="38" t="s">
        <v>1874</v>
      </c>
      <c r="J3" s="38" t="s">
        <v>1853</v>
      </c>
      <c r="K3" s="38" t="s">
        <v>1816</v>
      </c>
      <c r="L3" s="38" t="s">
        <v>1810</v>
      </c>
      <c r="M3" s="38" t="s">
        <v>1816</v>
      </c>
      <c r="N3" s="38" t="s">
        <v>1841</v>
      </c>
      <c r="O3" s="38" t="s">
        <v>1873</v>
      </c>
      <c r="P3" s="38" t="s">
        <v>1872</v>
      </c>
      <c r="Q3" s="38" t="s">
        <v>1871</v>
      </c>
      <c r="R3" s="38" t="s">
        <v>1829</v>
      </c>
      <c r="S3" s="38" t="s">
        <v>1857</v>
      </c>
      <c r="T3" s="38" t="s">
        <v>1838</v>
      </c>
      <c r="U3" s="38" t="s">
        <v>1859</v>
      </c>
      <c r="V3" s="38" t="s">
        <v>1870</v>
      </c>
      <c r="W3" s="38" t="s">
        <v>1808</v>
      </c>
      <c r="X3" s="38" t="s">
        <v>1869</v>
      </c>
      <c r="Y3" s="38" t="s">
        <v>1811</v>
      </c>
      <c r="Z3" s="38" t="s">
        <v>1868</v>
      </c>
      <c r="AA3" s="38" t="s">
        <v>1859</v>
      </c>
      <c r="AB3" s="38" t="s">
        <v>1867</v>
      </c>
      <c r="AC3" s="38" t="s">
        <v>1866</v>
      </c>
      <c r="AD3" s="38" t="s">
        <v>1865</v>
      </c>
      <c r="AE3" s="38" t="s">
        <v>1852</v>
      </c>
      <c r="AF3" s="38" t="s">
        <v>1816</v>
      </c>
      <c r="AG3" s="38" t="s">
        <v>1851</v>
      </c>
      <c r="AH3" s="38" t="s">
        <v>1845</v>
      </c>
      <c r="AI3" s="38" t="s">
        <v>1864</v>
      </c>
      <c r="AJ3" s="38" t="s">
        <v>1863</v>
      </c>
      <c r="AK3" s="38" t="s">
        <v>1862</v>
      </c>
      <c r="AL3" s="38" t="s">
        <v>1845</v>
      </c>
      <c r="AM3" s="38" t="s">
        <v>1861</v>
      </c>
      <c r="AN3" s="38" t="s">
        <v>1860</v>
      </c>
      <c r="AO3" s="38" t="s">
        <v>1859</v>
      </c>
      <c r="AP3" s="38" t="s">
        <v>1852</v>
      </c>
      <c r="AQ3" s="38" t="s">
        <v>1814</v>
      </c>
      <c r="AR3" s="38" t="s">
        <v>1821</v>
      </c>
      <c r="AS3" s="38" t="s">
        <v>1858</v>
      </c>
      <c r="AT3" s="38" t="s">
        <v>1824</v>
      </c>
      <c r="AU3" s="38" t="s">
        <v>1814</v>
      </c>
      <c r="AV3" s="38" t="s">
        <v>1840</v>
      </c>
      <c r="AW3" s="38" t="s">
        <v>1824</v>
      </c>
      <c r="AX3" s="38" t="s">
        <v>1818</v>
      </c>
      <c r="AY3" s="38" t="s">
        <v>1845</v>
      </c>
      <c r="AZ3" s="38" t="s">
        <v>1857</v>
      </c>
      <c r="BA3" s="38" t="s">
        <v>1813</v>
      </c>
      <c r="BB3" s="38" t="s">
        <v>1847</v>
      </c>
      <c r="BC3" s="38" t="s">
        <v>1805</v>
      </c>
      <c r="BD3" s="38" t="s">
        <v>1856</v>
      </c>
      <c r="BE3" s="38" t="s">
        <v>1855</v>
      </c>
      <c r="BF3" s="38" t="s">
        <v>1811</v>
      </c>
      <c r="BG3" s="38" t="s">
        <v>1854</v>
      </c>
      <c r="BH3" s="38" t="s">
        <v>1853</v>
      </c>
      <c r="BI3" s="38" t="s">
        <v>1815</v>
      </c>
      <c r="BJ3" s="38" t="s">
        <v>1837</v>
      </c>
      <c r="BK3" s="38" t="s">
        <v>1852</v>
      </c>
      <c r="BL3" s="38" t="s">
        <v>1820</v>
      </c>
      <c r="BM3" s="38" t="s">
        <v>1851</v>
      </c>
      <c r="BN3" s="38" t="s">
        <v>1821</v>
      </c>
      <c r="BO3" s="38" t="s">
        <v>1850</v>
      </c>
      <c r="BP3" s="38" t="s">
        <v>1809</v>
      </c>
      <c r="BQ3" s="38" t="s">
        <v>1849</v>
      </c>
      <c r="BR3" s="38" t="s">
        <v>1811</v>
      </c>
      <c r="BS3" s="38" t="s">
        <v>1848</v>
      </c>
      <c r="BT3" s="38" t="s">
        <v>1847</v>
      </c>
      <c r="BU3" s="38" t="s">
        <v>1846</v>
      </c>
      <c r="BV3" s="38" t="s">
        <v>1845</v>
      </c>
      <c r="BW3" s="38" t="s">
        <v>1818</v>
      </c>
      <c r="BX3" s="38" t="s">
        <v>1844</v>
      </c>
      <c r="BY3" s="38" t="s">
        <v>1843</v>
      </c>
      <c r="BZ3" s="38" t="s">
        <v>1842</v>
      </c>
      <c r="CA3" s="38" t="s">
        <v>1841</v>
      </c>
      <c r="CB3" s="38" t="s">
        <v>1840</v>
      </c>
      <c r="CC3" s="38" t="s">
        <v>1818</v>
      </c>
      <c r="CD3" s="38" t="s">
        <v>1839</v>
      </c>
      <c r="CE3" s="38" t="s">
        <v>1831</v>
      </c>
      <c r="CF3" s="38" t="s">
        <v>1838</v>
      </c>
      <c r="CG3" s="38" t="s">
        <v>1837</v>
      </c>
      <c r="CH3" s="38" t="s">
        <v>1818</v>
      </c>
      <c r="CI3" s="38" t="s">
        <v>1836</v>
      </c>
      <c r="CJ3" s="38" t="s">
        <v>1835</v>
      </c>
      <c r="CK3" s="38" t="s">
        <v>1834</v>
      </c>
      <c r="CL3" s="38" t="s">
        <v>1833</v>
      </c>
      <c r="CM3" s="38" t="s">
        <v>1832</v>
      </c>
      <c r="CN3" s="38" t="s">
        <v>1831</v>
      </c>
      <c r="CO3" s="38" t="s">
        <v>1830</v>
      </c>
      <c r="CP3" s="38" t="s">
        <v>1829</v>
      </c>
      <c r="CQ3" s="38" t="s">
        <v>1828</v>
      </c>
      <c r="CR3" s="38" t="s">
        <v>1820</v>
      </c>
      <c r="CS3" s="38" t="s">
        <v>1827</v>
      </c>
      <c r="CT3" s="38" t="s">
        <v>1826</v>
      </c>
      <c r="CU3" s="38" t="s">
        <v>1825</v>
      </c>
      <c r="CV3" s="38" t="s">
        <v>1824</v>
      </c>
      <c r="CW3" s="38" t="s">
        <v>1820</v>
      </c>
      <c r="CX3" s="38" t="s">
        <v>1823</v>
      </c>
      <c r="CY3" s="38" t="s">
        <v>1822</v>
      </c>
      <c r="CZ3" s="38" t="s">
        <v>1821</v>
      </c>
      <c r="DA3" s="38" t="s">
        <v>1820</v>
      </c>
      <c r="DB3" s="38" t="s">
        <v>1819</v>
      </c>
      <c r="DC3" s="38" t="s">
        <v>1818</v>
      </c>
      <c r="DD3" s="38" t="s">
        <v>1817</v>
      </c>
      <c r="DE3" s="38" t="s">
        <v>1816</v>
      </c>
      <c r="DF3" s="38" t="s">
        <v>1815</v>
      </c>
      <c r="DG3" s="38" t="s">
        <v>1814</v>
      </c>
      <c r="DH3" s="38" t="s">
        <v>1810</v>
      </c>
      <c r="DI3" s="38" t="s">
        <v>1813</v>
      </c>
      <c r="DJ3" s="38" t="s">
        <v>1812</v>
      </c>
      <c r="DK3" s="37">
        <v>0</v>
      </c>
      <c r="DL3" s="38" t="s">
        <v>1811</v>
      </c>
      <c r="DM3" s="38" t="s">
        <v>1810</v>
      </c>
      <c r="DN3" s="38" t="s">
        <v>1809</v>
      </c>
      <c r="DO3" s="38" t="s">
        <v>1808</v>
      </c>
      <c r="DP3" s="38" t="s">
        <v>1807</v>
      </c>
      <c r="DQ3" s="38" t="s">
        <v>1806</v>
      </c>
      <c r="DR3" s="38" t="s">
        <v>1805</v>
      </c>
      <c r="DS3" s="38" t="s">
        <v>1804</v>
      </c>
    </row>
    <row r="4" spans="1:123">
      <c r="A4" s="37">
        <v>3</v>
      </c>
      <c r="B4" s="38" t="s">
        <v>1749</v>
      </c>
      <c r="C4" s="38" t="s">
        <v>1780</v>
      </c>
      <c r="D4" s="38" t="s">
        <v>1772</v>
      </c>
      <c r="E4" s="38" t="s">
        <v>1744</v>
      </c>
      <c r="F4" s="38" t="s">
        <v>1740</v>
      </c>
      <c r="G4" s="38" t="s">
        <v>1803</v>
      </c>
      <c r="H4" s="38" t="s">
        <v>1775</v>
      </c>
      <c r="I4" s="38" t="s">
        <v>1802</v>
      </c>
      <c r="J4" s="37">
        <v>0</v>
      </c>
      <c r="K4" s="38" t="s">
        <v>1798</v>
      </c>
      <c r="L4" s="38" t="s">
        <v>1752</v>
      </c>
      <c r="M4" s="38" t="s">
        <v>1752</v>
      </c>
      <c r="N4" s="38" t="s">
        <v>1801</v>
      </c>
      <c r="O4" s="38" t="s">
        <v>1773</v>
      </c>
      <c r="P4" s="38" t="s">
        <v>1800</v>
      </c>
      <c r="Q4" s="38" t="s">
        <v>1799</v>
      </c>
      <c r="R4" s="38" t="s">
        <v>1798</v>
      </c>
      <c r="S4" s="38" t="s">
        <v>1797</v>
      </c>
      <c r="T4" s="38" t="s">
        <v>1796</v>
      </c>
      <c r="U4" s="38" t="s">
        <v>1740</v>
      </c>
      <c r="V4" s="38" t="s">
        <v>1795</v>
      </c>
      <c r="W4" s="38" t="s">
        <v>1763</v>
      </c>
      <c r="X4" s="38" t="s">
        <v>1771</v>
      </c>
      <c r="Y4" s="38" t="s">
        <v>1764</v>
      </c>
      <c r="Z4" s="38" t="s">
        <v>1794</v>
      </c>
      <c r="AA4" s="38" t="s">
        <v>1740</v>
      </c>
      <c r="AB4" s="38" t="s">
        <v>1793</v>
      </c>
      <c r="AC4" s="38" t="s">
        <v>1792</v>
      </c>
      <c r="AD4" s="38" t="s">
        <v>1791</v>
      </c>
      <c r="AE4" s="38" t="s">
        <v>1790</v>
      </c>
      <c r="AF4" s="38" t="s">
        <v>1789</v>
      </c>
      <c r="AG4" s="38" t="s">
        <v>1742</v>
      </c>
      <c r="AH4" s="38" t="s">
        <v>1741</v>
      </c>
      <c r="AI4" s="38" t="s">
        <v>1788</v>
      </c>
      <c r="AJ4" s="38" t="s">
        <v>1787</v>
      </c>
      <c r="AK4" s="38" t="s">
        <v>1786</v>
      </c>
      <c r="AL4" s="38" t="s">
        <v>1736</v>
      </c>
      <c r="AM4" s="38" t="s">
        <v>1785</v>
      </c>
      <c r="AN4" s="38" t="s">
        <v>1784</v>
      </c>
      <c r="AO4" s="38" t="s">
        <v>1761</v>
      </c>
      <c r="AP4" s="38" t="s">
        <v>1783</v>
      </c>
      <c r="AQ4" s="38" t="s">
        <v>1782</v>
      </c>
      <c r="AR4" s="38" t="s">
        <v>1779</v>
      </c>
      <c r="AS4" s="38" t="s">
        <v>1781</v>
      </c>
      <c r="AT4" s="38" t="s">
        <v>1778</v>
      </c>
      <c r="AU4" s="38" t="s">
        <v>1756</v>
      </c>
      <c r="AV4" s="38" t="s">
        <v>1780</v>
      </c>
      <c r="AW4" s="38" t="s">
        <v>1740</v>
      </c>
      <c r="AX4" s="38" t="s">
        <v>1752</v>
      </c>
      <c r="AY4" s="38" t="s">
        <v>1731</v>
      </c>
      <c r="AZ4" s="38" t="s">
        <v>1779</v>
      </c>
      <c r="BA4" s="37">
        <v>0</v>
      </c>
      <c r="BB4" s="38" t="s">
        <v>1778</v>
      </c>
      <c r="BC4" s="38" t="s">
        <v>1777</v>
      </c>
      <c r="BD4" s="38" t="s">
        <v>1730</v>
      </c>
      <c r="BE4" s="38" t="s">
        <v>1776</v>
      </c>
      <c r="BF4" s="38" t="s">
        <v>1743</v>
      </c>
      <c r="BG4" s="38" t="s">
        <v>1775</v>
      </c>
      <c r="BH4" s="38" t="s">
        <v>1774</v>
      </c>
      <c r="BI4" s="38" t="s">
        <v>1773</v>
      </c>
      <c r="BJ4" s="38" t="s">
        <v>1768</v>
      </c>
      <c r="BK4" s="38" t="s">
        <v>1772</v>
      </c>
      <c r="BL4" s="38" t="s">
        <v>1752</v>
      </c>
      <c r="BM4" s="38" t="s">
        <v>1761</v>
      </c>
      <c r="BN4" s="38" t="s">
        <v>1756</v>
      </c>
      <c r="BO4" s="38" t="s">
        <v>1771</v>
      </c>
      <c r="BP4" s="38" t="s">
        <v>1738</v>
      </c>
      <c r="BQ4" s="38" t="s">
        <v>1770</v>
      </c>
      <c r="BR4" s="38" t="s">
        <v>1737</v>
      </c>
      <c r="BS4" s="38" t="s">
        <v>1769</v>
      </c>
      <c r="BT4" s="38" t="s">
        <v>1735</v>
      </c>
      <c r="BU4" s="38" t="s">
        <v>1768</v>
      </c>
      <c r="BV4" s="38" t="s">
        <v>1741</v>
      </c>
      <c r="BW4" s="38" t="s">
        <v>1736</v>
      </c>
      <c r="BX4" s="38" t="s">
        <v>1767</v>
      </c>
      <c r="BY4" s="38" t="s">
        <v>1766</v>
      </c>
      <c r="BZ4" s="38" t="s">
        <v>1749</v>
      </c>
      <c r="CA4" s="38" t="s">
        <v>1765</v>
      </c>
      <c r="CB4" s="38" t="s">
        <v>1764</v>
      </c>
      <c r="CC4" s="38" t="s">
        <v>1763</v>
      </c>
      <c r="CD4" s="38" t="s">
        <v>1762</v>
      </c>
      <c r="CE4" s="38" t="s">
        <v>1738</v>
      </c>
      <c r="CF4" s="38" t="s">
        <v>1761</v>
      </c>
      <c r="CG4" s="38" t="s">
        <v>1760</v>
      </c>
      <c r="CH4" s="38" t="s">
        <v>1736</v>
      </c>
      <c r="CI4" s="38" t="s">
        <v>1759</v>
      </c>
      <c r="CJ4" s="38" t="s">
        <v>1758</v>
      </c>
      <c r="CK4" s="38" t="s">
        <v>1757</v>
      </c>
      <c r="CL4" s="38" t="s">
        <v>1756</v>
      </c>
      <c r="CM4" s="38" t="s">
        <v>1755</v>
      </c>
      <c r="CN4" s="38" t="s">
        <v>1754</v>
      </c>
      <c r="CO4" s="38" t="s">
        <v>1753</v>
      </c>
      <c r="CP4" s="38" t="s">
        <v>1752</v>
      </c>
      <c r="CQ4" s="38" t="s">
        <v>1751</v>
      </c>
      <c r="CR4" s="38" t="s">
        <v>1750</v>
      </c>
      <c r="CS4" s="38" t="s">
        <v>1749</v>
      </c>
      <c r="CT4" s="38" t="s">
        <v>1748</v>
      </c>
      <c r="CU4" s="38" t="s">
        <v>1747</v>
      </c>
      <c r="CV4" s="38" t="s">
        <v>1746</v>
      </c>
      <c r="CW4" s="38" t="s">
        <v>1740</v>
      </c>
      <c r="CX4" s="38" t="s">
        <v>1745</v>
      </c>
      <c r="CY4" s="38" t="s">
        <v>1744</v>
      </c>
      <c r="CZ4" s="38" t="s">
        <v>1743</v>
      </c>
      <c r="DA4" s="38" t="s">
        <v>1742</v>
      </c>
      <c r="DB4" s="38" t="s">
        <v>1741</v>
      </c>
      <c r="DC4" s="38" t="s">
        <v>1740</v>
      </c>
      <c r="DD4" s="38" t="s">
        <v>1739</v>
      </c>
      <c r="DE4" s="38" t="s">
        <v>1731</v>
      </c>
      <c r="DF4" s="38" t="s">
        <v>1738</v>
      </c>
      <c r="DG4" s="38" t="s">
        <v>1737</v>
      </c>
      <c r="DH4" s="38" t="s">
        <v>1736</v>
      </c>
      <c r="DI4" s="38" t="s">
        <v>1735</v>
      </c>
      <c r="DJ4" s="38" t="s">
        <v>1734</v>
      </c>
      <c r="DK4" s="37">
        <v>0</v>
      </c>
      <c r="DL4" s="38" t="s">
        <v>1733</v>
      </c>
      <c r="DM4" s="38" t="s">
        <v>1732</v>
      </c>
      <c r="DN4" s="38" t="s">
        <v>1731</v>
      </c>
      <c r="DO4" s="38" t="s">
        <v>1730</v>
      </c>
      <c r="DP4" s="38" t="s">
        <v>1729</v>
      </c>
      <c r="DQ4" s="38" t="s">
        <v>1728</v>
      </c>
      <c r="DR4" s="38" t="s">
        <v>1727</v>
      </c>
      <c r="DS4" s="38" t="s">
        <v>1726</v>
      </c>
    </row>
    <row r="5" spans="1:123">
      <c r="A5" s="37">
        <v>4</v>
      </c>
      <c r="B5" s="38" t="s">
        <v>1725</v>
      </c>
      <c r="C5" s="38" t="s">
        <v>1724</v>
      </c>
      <c r="D5" s="38" t="s">
        <v>1723</v>
      </c>
      <c r="E5" s="38" t="s">
        <v>1723</v>
      </c>
      <c r="F5" s="38" t="s">
        <v>1712</v>
      </c>
      <c r="G5" s="38" t="s">
        <v>1722</v>
      </c>
      <c r="H5" s="38" t="s">
        <v>1721</v>
      </c>
      <c r="I5" s="38" t="s">
        <v>1720</v>
      </c>
      <c r="J5" s="38" t="s">
        <v>1676</v>
      </c>
      <c r="K5" s="38" t="s">
        <v>1669</v>
      </c>
      <c r="L5" s="38" t="s">
        <v>1667</v>
      </c>
      <c r="M5" s="38" t="s">
        <v>1712</v>
      </c>
      <c r="N5" s="38" t="s">
        <v>1703</v>
      </c>
      <c r="O5" s="38" t="s">
        <v>1698</v>
      </c>
      <c r="P5" s="38" t="s">
        <v>1719</v>
      </c>
      <c r="Q5" s="38" t="s">
        <v>1718</v>
      </c>
      <c r="R5" s="38" t="s">
        <v>1673</v>
      </c>
      <c r="S5" s="38" t="s">
        <v>1717</v>
      </c>
      <c r="T5" s="38" t="s">
        <v>1662</v>
      </c>
      <c r="U5" s="38" t="s">
        <v>1669</v>
      </c>
      <c r="V5" s="38" t="s">
        <v>1716</v>
      </c>
      <c r="W5" s="38" t="s">
        <v>1695</v>
      </c>
      <c r="X5" s="38" t="s">
        <v>1702</v>
      </c>
      <c r="Y5" s="38" t="s">
        <v>1691</v>
      </c>
      <c r="Z5" s="38" t="s">
        <v>1715</v>
      </c>
      <c r="AA5" s="38" t="s">
        <v>1690</v>
      </c>
      <c r="AB5" s="38" t="s">
        <v>1669</v>
      </c>
      <c r="AC5" s="38" t="s">
        <v>1665</v>
      </c>
      <c r="AD5" s="38" t="s">
        <v>1714</v>
      </c>
      <c r="AE5" s="38" t="s">
        <v>1713</v>
      </c>
      <c r="AF5" s="38" t="s">
        <v>1712</v>
      </c>
      <c r="AG5" s="38" t="s">
        <v>1711</v>
      </c>
      <c r="AH5" s="38" t="s">
        <v>1704</v>
      </c>
      <c r="AI5" s="38" t="s">
        <v>1687</v>
      </c>
      <c r="AJ5" s="38" t="s">
        <v>1710</v>
      </c>
      <c r="AK5" s="38" t="s">
        <v>1709</v>
      </c>
      <c r="AL5" s="38" t="s">
        <v>1676</v>
      </c>
      <c r="AM5" s="38" t="s">
        <v>1708</v>
      </c>
      <c r="AN5" s="38" t="s">
        <v>1678</v>
      </c>
      <c r="AO5" s="38" t="s">
        <v>1664</v>
      </c>
      <c r="AP5" s="38" t="s">
        <v>1689</v>
      </c>
      <c r="AQ5" s="38" t="s">
        <v>1704</v>
      </c>
      <c r="AR5" s="38" t="s">
        <v>1662</v>
      </c>
      <c r="AS5" s="38" t="s">
        <v>1668</v>
      </c>
      <c r="AT5" s="38" t="s">
        <v>1667</v>
      </c>
      <c r="AU5" s="38" t="s">
        <v>1665</v>
      </c>
      <c r="AV5" s="38" t="s">
        <v>1707</v>
      </c>
      <c r="AW5" s="38" t="s">
        <v>1673</v>
      </c>
      <c r="AX5" s="38" t="s">
        <v>1667</v>
      </c>
      <c r="AY5" s="38" t="s">
        <v>1690</v>
      </c>
      <c r="AZ5" s="38" t="s">
        <v>1677</v>
      </c>
      <c r="BA5" s="38" t="s">
        <v>1676</v>
      </c>
      <c r="BB5" s="38" t="s">
        <v>1671</v>
      </c>
      <c r="BC5" s="38" t="s">
        <v>1706</v>
      </c>
      <c r="BD5" s="38" t="s">
        <v>1705</v>
      </c>
      <c r="BE5" s="38" t="s">
        <v>1704</v>
      </c>
      <c r="BF5" s="38" t="s">
        <v>1665</v>
      </c>
      <c r="BG5" s="38" t="s">
        <v>1674</v>
      </c>
      <c r="BH5" s="38" t="s">
        <v>1676</v>
      </c>
      <c r="BI5" s="38" t="s">
        <v>1703</v>
      </c>
      <c r="BJ5" s="38" t="s">
        <v>1702</v>
      </c>
      <c r="BK5" s="38" t="s">
        <v>1702</v>
      </c>
      <c r="BL5" s="38" t="s">
        <v>1673</v>
      </c>
      <c r="BM5" s="38" t="s">
        <v>1673</v>
      </c>
      <c r="BN5" s="38" t="s">
        <v>1701</v>
      </c>
      <c r="BO5" s="38" t="s">
        <v>1700</v>
      </c>
      <c r="BP5" s="38" t="s">
        <v>1673</v>
      </c>
      <c r="BQ5" s="38" t="s">
        <v>1699</v>
      </c>
      <c r="BR5" s="38" t="s">
        <v>1698</v>
      </c>
      <c r="BS5" s="38" t="s">
        <v>1697</v>
      </c>
      <c r="BT5" s="38" t="s">
        <v>1676</v>
      </c>
      <c r="BU5" s="38" t="s">
        <v>1696</v>
      </c>
      <c r="BV5" s="38" t="s">
        <v>1695</v>
      </c>
      <c r="BW5" s="38" t="s">
        <v>1669</v>
      </c>
      <c r="BX5" s="38" t="s">
        <v>1694</v>
      </c>
      <c r="BY5" s="38" t="s">
        <v>1693</v>
      </c>
      <c r="BZ5" s="38" t="s">
        <v>1692</v>
      </c>
      <c r="CA5" s="38" t="s">
        <v>1684</v>
      </c>
      <c r="CB5" s="38" t="s">
        <v>1691</v>
      </c>
      <c r="CC5" s="38" t="s">
        <v>1690</v>
      </c>
      <c r="CD5" s="38" t="s">
        <v>1689</v>
      </c>
      <c r="CE5" s="38" t="s">
        <v>1664</v>
      </c>
      <c r="CF5" s="38" t="s">
        <v>1676</v>
      </c>
      <c r="CG5" s="38" t="s">
        <v>1688</v>
      </c>
      <c r="CH5" s="38" t="s">
        <v>1669</v>
      </c>
      <c r="CI5" s="38" t="s">
        <v>1687</v>
      </c>
      <c r="CJ5" s="38" t="s">
        <v>1686</v>
      </c>
      <c r="CK5" s="38" t="s">
        <v>1685</v>
      </c>
      <c r="CL5" s="38" t="s">
        <v>1684</v>
      </c>
      <c r="CM5" s="38" t="s">
        <v>1683</v>
      </c>
      <c r="CN5" s="38" t="s">
        <v>1682</v>
      </c>
      <c r="CO5" s="38" t="s">
        <v>1681</v>
      </c>
      <c r="CP5" s="38" t="s">
        <v>1673</v>
      </c>
      <c r="CQ5" s="38" t="s">
        <v>1680</v>
      </c>
      <c r="CR5" s="38" t="s">
        <v>1672</v>
      </c>
      <c r="CS5" s="38" t="s">
        <v>1679</v>
      </c>
      <c r="CT5" s="38" t="s">
        <v>1678</v>
      </c>
      <c r="CU5" s="38" t="s">
        <v>1449</v>
      </c>
      <c r="CV5" s="38" t="s">
        <v>1677</v>
      </c>
      <c r="CW5" s="38" t="s">
        <v>1676</v>
      </c>
      <c r="CX5" s="38" t="s">
        <v>1675</v>
      </c>
      <c r="CY5" s="38" t="s">
        <v>1674</v>
      </c>
      <c r="CZ5" s="38" t="s">
        <v>1673</v>
      </c>
      <c r="DA5" s="38" t="s">
        <v>1672</v>
      </c>
      <c r="DB5" s="38" t="s">
        <v>1663</v>
      </c>
      <c r="DC5" s="38" t="s">
        <v>1671</v>
      </c>
      <c r="DD5" s="38" t="s">
        <v>1670</v>
      </c>
      <c r="DE5" s="38" t="s">
        <v>1669</v>
      </c>
      <c r="DF5" s="38" t="s">
        <v>1665</v>
      </c>
      <c r="DG5" s="38" t="s">
        <v>1668</v>
      </c>
      <c r="DH5" s="38" t="s">
        <v>1667</v>
      </c>
      <c r="DI5" s="37">
        <v>0</v>
      </c>
      <c r="DJ5" s="38" t="s">
        <v>1666</v>
      </c>
      <c r="DK5" s="37">
        <v>0</v>
      </c>
      <c r="DL5" s="38" t="s">
        <v>1665</v>
      </c>
      <c r="DM5" s="38" t="s">
        <v>1663</v>
      </c>
      <c r="DN5" s="38" t="s">
        <v>1664</v>
      </c>
      <c r="DO5" s="38" t="s">
        <v>1663</v>
      </c>
      <c r="DP5" s="38" t="s">
        <v>1662</v>
      </c>
      <c r="DQ5" s="38" t="s">
        <v>1661</v>
      </c>
      <c r="DR5" s="38" t="s">
        <v>1660</v>
      </c>
      <c r="DS5" s="38" t="s">
        <v>1659</v>
      </c>
    </row>
    <row r="6" spans="1:123">
      <c r="A6" s="37">
        <v>5</v>
      </c>
      <c r="B6" s="38" t="s">
        <v>1658</v>
      </c>
      <c r="C6" s="38" t="s">
        <v>1657</v>
      </c>
      <c r="D6" s="38" t="s">
        <v>1635</v>
      </c>
      <c r="E6" s="38" t="s">
        <v>1638</v>
      </c>
      <c r="F6" s="38" t="s">
        <v>1629</v>
      </c>
      <c r="G6" s="38" t="s">
        <v>1656</v>
      </c>
      <c r="H6" s="38" t="s">
        <v>1598</v>
      </c>
      <c r="I6" s="38" t="s">
        <v>1655</v>
      </c>
      <c r="J6" s="38" t="s">
        <v>1645</v>
      </c>
      <c r="K6" s="38" t="s">
        <v>1601</v>
      </c>
      <c r="L6" s="38" t="s">
        <v>1595</v>
      </c>
      <c r="M6" s="38" t="s">
        <v>1604</v>
      </c>
      <c r="N6" s="38" t="s">
        <v>1619</v>
      </c>
      <c r="O6" s="38" t="s">
        <v>1654</v>
      </c>
      <c r="P6" s="38" t="s">
        <v>1625</v>
      </c>
      <c r="Q6" s="38" t="s">
        <v>1653</v>
      </c>
      <c r="R6" s="38" t="s">
        <v>1606</v>
      </c>
      <c r="S6" s="38" t="s">
        <v>1646</v>
      </c>
      <c r="T6" s="38" t="s">
        <v>1649</v>
      </c>
      <c r="U6" s="38" t="s">
        <v>1602</v>
      </c>
      <c r="V6" s="38" t="s">
        <v>1651</v>
      </c>
      <c r="W6" s="38" t="s">
        <v>1623</v>
      </c>
      <c r="X6" s="38" t="s">
        <v>1652</v>
      </c>
      <c r="Y6" s="38" t="s">
        <v>1621</v>
      </c>
      <c r="Z6" s="38" t="s">
        <v>1651</v>
      </c>
      <c r="AA6" s="38" t="s">
        <v>1606</v>
      </c>
      <c r="AB6" s="38" t="s">
        <v>1634</v>
      </c>
      <c r="AC6" s="38" t="s">
        <v>1611</v>
      </c>
      <c r="AD6" s="38" t="s">
        <v>1627</v>
      </c>
      <c r="AE6" s="38" t="s">
        <v>1650</v>
      </c>
      <c r="AF6" s="38" t="s">
        <v>1613</v>
      </c>
      <c r="AG6" s="38" t="s">
        <v>1649</v>
      </c>
      <c r="AH6" s="38" t="s">
        <v>1637</v>
      </c>
      <c r="AI6" s="38" t="s">
        <v>1639</v>
      </c>
      <c r="AJ6" s="38" t="s">
        <v>1647</v>
      </c>
      <c r="AK6" s="38" t="s">
        <v>1648</v>
      </c>
      <c r="AL6" s="38" t="s">
        <v>1606</v>
      </c>
      <c r="AM6" s="38" t="s">
        <v>1647</v>
      </c>
      <c r="AN6" s="38" t="s">
        <v>1646</v>
      </c>
      <c r="AO6" s="38" t="s">
        <v>1629</v>
      </c>
      <c r="AP6" s="38" t="s">
        <v>1643</v>
      </c>
      <c r="AQ6" s="38" t="s">
        <v>1645</v>
      </c>
      <c r="AR6" s="38" t="s">
        <v>1601</v>
      </c>
      <c r="AS6" s="38" t="s">
        <v>1602</v>
      </c>
      <c r="AT6" s="38" t="s">
        <v>1595</v>
      </c>
      <c r="AU6" s="38" t="s">
        <v>1644</v>
      </c>
      <c r="AV6" s="38" t="s">
        <v>1643</v>
      </c>
      <c r="AW6" s="38" t="s">
        <v>1604</v>
      </c>
      <c r="AX6" s="38" t="s">
        <v>1637</v>
      </c>
      <c r="AY6" s="38" t="s">
        <v>1601</v>
      </c>
      <c r="AZ6" s="38" t="s">
        <v>1642</v>
      </c>
      <c r="BA6" s="38" t="s">
        <v>1641</v>
      </c>
      <c r="BB6" s="38" t="s">
        <v>1631</v>
      </c>
      <c r="BC6" s="38" t="s">
        <v>1640</v>
      </c>
      <c r="BD6" s="38" t="s">
        <v>1600</v>
      </c>
      <c r="BE6" s="38" t="s">
        <v>1613</v>
      </c>
      <c r="BF6" s="38" t="s">
        <v>1606</v>
      </c>
      <c r="BG6" s="38" t="s">
        <v>1634</v>
      </c>
      <c r="BH6" s="38" t="s">
        <v>1609</v>
      </c>
      <c r="BI6" s="38" t="s">
        <v>1594</v>
      </c>
      <c r="BJ6" s="38" t="s">
        <v>1639</v>
      </c>
      <c r="BK6" s="38" t="s">
        <v>1638</v>
      </c>
      <c r="BL6" s="38" t="s">
        <v>1623</v>
      </c>
      <c r="BM6" s="38" t="s">
        <v>1637</v>
      </c>
      <c r="BN6" s="38" t="s">
        <v>1636</v>
      </c>
      <c r="BO6" s="38" t="s">
        <v>1635</v>
      </c>
      <c r="BP6" s="38" t="s">
        <v>1634</v>
      </c>
      <c r="BQ6" s="38" t="s">
        <v>1633</v>
      </c>
      <c r="BR6" s="38" t="s">
        <v>1624</v>
      </c>
      <c r="BS6" s="38" t="s">
        <v>1632</v>
      </c>
      <c r="BT6" s="38" t="s">
        <v>1631</v>
      </c>
      <c r="BU6" s="38" t="s">
        <v>1630</v>
      </c>
      <c r="BV6" s="38" t="s">
        <v>1604</v>
      </c>
      <c r="BW6" s="38" t="s">
        <v>1629</v>
      </c>
      <c r="BX6" s="38" t="s">
        <v>1628</v>
      </c>
      <c r="BY6" s="38" t="s">
        <v>1627</v>
      </c>
      <c r="BZ6" s="38" t="s">
        <v>1626</v>
      </c>
      <c r="CA6" s="38" t="s">
        <v>1625</v>
      </c>
      <c r="CB6" s="38" t="s">
        <v>1624</v>
      </c>
      <c r="CC6" s="38" t="s">
        <v>1623</v>
      </c>
      <c r="CD6" s="38" t="s">
        <v>1622</v>
      </c>
      <c r="CE6" s="38" t="s">
        <v>1621</v>
      </c>
      <c r="CF6" s="38" t="s">
        <v>1613</v>
      </c>
      <c r="CG6" s="38" t="s">
        <v>1620</v>
      </c>
      <c r="CH6" s="38" t="s">
        <v>1605</v>
      </c>
      <c r="CI6" s="38" t="s">
        <v>1619</v>
      </c>
      <c r="CJ6" s="38" t="s">
        <v>1618</v>
      </c>
      <c r="CK6" s="38" t="s">
        <v>1617</v>
      </c>
      <c r="CL6" s="38" t="s">
        <v>1616</v>
      </c>
      <c r="CM6" s="38" t="s">
        <v>1615</v>
      </c>
      <c r="CN6" s="38" t="s">
        <v>1611</v>
      </c>
      <c r="CO6" s="38" t="s">
        <v>1614</v>
      </c>
      <c r="CP6" s="38" t="s">
        <v>1613</v>
      </c>
      <c r="CQ6" s="38" t="s">
        <v>1612</v>
      </c>
      <c r="CR6" s="38" t="s">
        <v>1605</v>
      </c>
      <c r="CS6" s="38" t="s">
        <v>1607</v>
      </c>
      <c r="CT6" s="38" t="s">
        <v>1611</v>
      </c>
      <c r="CU6" s="38" t="s">
        <v>1610</v>
      </c>
      <c r="CV6" s="38" t="s">
        <v>1606</v>
      </c>
      <c r="CW6" s="38" t="s">
        <v>1609</v>
      </c>
      <c r="CX6" s="38" t="s">
        <v>1608</v>
      </c>
      <c r="CY6" s="38" t="s">
        <v>1607</v>
      </c>
      <c r="CZ6" s="38" t="s">
        <v>1606</v>
      </c>
      <c r="DA6" s="38" t="s">
        <v>1605</v>
      </c>
      <c r="DB6" s="38" t="s">
        <v>1595</v>
      </c>
      <c r="DC6" s="38" t="s">
        <v>1604</v>
      </c>
      <c r="DD6" s="38" t="s">
        <v>1603</v>
      </c>
      <c r="DE6" s="38" t="s">
        <v>1602</v>
      </c>
      <c r="DF6" s="38" t="s">
        <v>1596</v>
      </c>
      <c r="DG6" s="38" t="s">
        <v>1601</v>
      </c>
      <c r="DH6" s="38" t="s">
        <v>1597</v>
      </c>
      <c r="DI6" s="38" t="s">
        <v>1600</v>
      </c>
      <c r="DJ6" s="38" t="s">
        <v>1599</v>
      </c>
      <c r="DK6" s="37">
        <v>0</v>
      </c>
      <c r="DL6" s="38" t="s">
        <v>1598</v>
      </c>
      <c r="DM6" s="38" t="s">
        <v>1597</v>
      </c>
      <c r="DN6" s="38" t="s">
        <v>1596</v>
      </c>
      <c r="DO6" s="38" t="s">
        <v>1595</v>
      </c>
      <c r="DP6" s="38" t="s">
        <v>1594</v>
      </c>
      <c r="DQ6" s="38" t="s">
        <v>1593</v>
      </c>
      <c r="DR6" s="38" t="s">
        <v>1592</v>
      </c>
      <c r="DS6" s="38" t="s">
        <v>1591</v>
      </c>
    </row>
    <row r="7" spans="1:123">
      <c r="A7" s="37">
        <v>6</v>
      </c>
      <c r="B7" s="38" t="s">
        <v>1590</v>
      </c>
      <c r="C7" s="38" t="s">
        <v>1589</v>
      </c>
      <c r="D7" s="38" t="s">
        <v>1558</v>
      </c>
      <c r="E7" s="38" t="s">
        <v>1588</v>
      </c>
      <c r="F7" s="38" t="s">
        <v>1534</v>
      </c>
      <c r="G7" s="38" t="s">
        <v>1587</v>
      </c>
      <c r="H7" s="38" t="s">
        <v>1586</v>
      </c>
      <c r="I7" s="38" t="s">
        <v>1585</v>
      </c>
      <c r="J7" s="38" t="s">
        <v>1532</v>
      </c>
      <c r="K7" s="38" t="s">
        <v>1512</v>
      </c>
      <c r="L7" s="38" t="s">
        <v>1584</v>
      </c>
      <c r="M7" s="38" t="s">
        <v>1560</v>
      </c>
      <c r="N7" s="38" t="s">
        <v>1530</v>
      </c>
      <c r="O7" s="38" t="s">
        <v>1563</v>
      </c>
      <c r="P7" s="38" t="s">
        <v>1530</v>
      </c>
      <c r="Q7" s="38" t="s">
        <v>1583</v>
      </c>
      <c r="R7" s="38" t="s">
        <v>1521</v>
      </c>
      <c r="S7" s="38" t="s">
        <v>1582</v>
      </c>
      <c r="T7" s="38" t="s">
        <v>1522</v>
      </c>
      <c r="U7" s="38" t="s">
        <v>1575</v>
      </c>
      <c r="V7" s="38" t="s">
        <v>1581</v>
      </c>
      <c r="W7" s="38" t="s">
        <v>1518</v>
      </c>
      <c r="X7" s="38" t="s">
        <v>1580</v>
      </c>
      <c r="Y7" s="38" t="s">
        <v>1579</v>
      </c>
      <c r="Z7" s="38" t="s">
        <v>1578</v>
      </c>
      <c r="AA7" s="38" t="s">
        <v>1551</v>
      </c>
      <c r="AB7" s="38" t="s">
        <v>1577</v>
      </c>
      <c r="AC7" s="38" t="s">
        <v>1516</v>
      </c>
      <c r="AD7" s="38" t="s">
        <v>1535</v>
      </c>
      <c r="AE7" s="38" t="s">
        <v>1555</v>
      </c>
      <c r="AF7" s="38" t="s">
        <v>1576</v>
      </c>
      <c r="AG7" s="38" t="s">
        <v>1575</v>
      </c>
      <c r="AH7" s="38" t="s">
        <v>1534</v>
      </c>
      <c r="AI7" s="38" t="s">
        <v>1574</v>
      </c>
      <c r="AJ7" s="38" t="s">
        <v>1573</v>
      </c>
      <c r="AK7" s="38" t="s">
        <v>1572</v>
      </c>
      <c r="AL7" s="38" t="s">
        <v>1571</v>
      </c>
      <c r="AM7" s="38" t="s">
        <v>1570</v>
      </c>
      <c r="AN7" s="38" t="s">
        <v>1569</v>
      </c>
      <c r="AO7" s="38" t="s">
        <v>1568</v>
      </c>
      <c r="AP7" s="38" t="s">
        <v>1567</v>
      </c>
      <c r="AQ7" s="38" t="s">
        <v>1519</v>
      </c>
      <c r="AR7" s="38" t="s">
        <v>1566</v>
      </c>
      <c r="AS7" s="38" t="s">
        <v>1551</v>
      </c>
      <c r="AT7" s="38" t="s">
        <v>1546</v>
      </c>
      <c r="AU7" s="38" t="s">
        <v>1512</v>
      </c>
      <c r="AV7" s="38" t="s">
        <v>1565</v>
      </c>
      <c r="AW7" s="38" t="s">
        <v>1551</v>
      </c>
      <c r="AX7" s="38" t="s">
        <v>1564</v>
      </c>
      <c r="AY7" s="38" t="s">
        <v>1519</v>
      </c>
      <c r="AZ7" s="38" t="s">
        <v>1563</v>
      </c>
      <c r="BA7" s="38" t="s">
        <v>1562</v>
      </c>
      <c r="BB7" s="38" t="s">
        <v>1518</v>
      </c>
      <c r="BC7" s="38" t="s">
        <v>1561</v>
      </c>
      <c r="BD7" s="38" t="s">
        <v>1532</v>
      </c>
      <c r="BE7" s="38" t="s">
        <v>1514</v>
      </c>
      <c r="BF7" s="38" t="s">
        <v>1560</v>
      </c>
      <c r="BG7" s="38" t="s">
        <v>1559</v>
      </c>
      <c r="BH7" s="38" t="s">
        <v>1518</v>
      </c>
      <c r="BI7" s="38" t="s">
        <v>1559</v>
      </c>
      <c r="BJ7" s="38" t="s">
        <v>1558</v>
      </c>
      <c r="BK7" s="38" t="s">
        <v>1557</v>
      </c>
      <c r="BL7" s="38" t="s">
        <v>1519</v>
      </c>
      <c r="BM7" s="38" t="s">
        <v>1534</v>
      </c>
      <c r="BN7" s="38" t="s">
        <v>1556</v>
      </c>
      <c r="BO7" s="38" t="s">
        <v>1555</v>
      </c>
      <c r="BP7" s="38" t="s">
        <v>1534</v>
      </c>
      <c r="BQ7" s="38" t="s">
        <v>1554</v>
      </c>
      <c r="BR7" s="38" t="s">
        <v>1553</v>
      </c>
      <c r="BS7" s="38" t="s">
        <v>1509</v>
      </c>
      <c r="BT7" s="38" t="s">
        <v>1518</v>
      </c>
      <c r="BU7" s="38" t="s">
        <v>1552</v>
      </c>
      <c r="BV7" s="38" t="s">
        <v>1551</v>
      </c>
      <c r="BW7" s="38" t="s">
        <v>1550</v>
      </c>
      <c r="BX7" s="38" t="s">
        <v>1549</v>
      </c>
      <c r="BY7" s="38" t="s">
        <v>1535</v>
      </c>
      <c r="BZ7" s="38" t="s">
        <v>1548</v>
      </c>
      <c r="CA7" s="38" t="s">
        <v>1516</v>
      </c>
      <c r="CB7" s="38" t="s">
        <v>1547</v>
      </c>
      <c r="CC7" s="38" t="s">
        <v>1546</v>
      </c>
      <c r="CD7" s="38" t="s">
        <v>1545</v>
      </c>
      <c r="CE7" s="38" t="s">
        <v>1544</v>
      </c>
      <c r="CF7" s="38" t="s">
        <v>1513</v>
      </c>
      <c r="CG7" s="38" t="s">
        <v>1543</v>
      </c>
      <c r="CH7" s="38" t="s">
        <v>1542</v>
      </c>
      <c r="CI7" s="38" t="s">
        <v>1541</v>
      </c>
      <c r="CJ7" s="38" t="s">
        <v>1540</v>
      </c>
      <c r="CK7" s="38" t="s">
        <v>1539</v>
      </c>
      <c r="CL7" s="38" t="s">
        <v>1538</v>
      </c>
      <c r="CM7" s="38" t="s">
        <v>1537</v>
      </c>
      <c r="CN7" s="38" t="s">
        <v>1536</v>
      </c>
      <c r="CO7" s="38" t="s">
        <v>1535</v>
      </c>
      <c r="CP7" s="38" t="s">
        <v>1534</v>
      </c>
      <c r="CQ7" s="38" t="s">
        <v>1533</v>
      </c>
      <c r="CR7" s="38" t="s">
        <v>1532</v>
      </c>
      <c r="CS7" s="38" t="s">
        <v>1531</v>
      </c>
      <c r="CT7" s="38" t="s">
        <v>1530</v>
      </c>
      <c r="CU7" s="38" t="s">
        <v>1529</v>
      </c>
      <c r="CV7" s="38" t="s">
        <v>1521</v>
      </c>
      <c r="CW7" s="38" t="s">
        <v>1522</v>
      </c>
      <c r="CX7" s="38" t="s">
        <v>1528</v>
      </c>
      <c r="CY7" s="38" t="s">
        <v>1516</v>
      </c>
      <c r="CZ7" s="38" t="s">
        <v>1527</v>
      </c>
      <c r="DA7" s="38" t="s">
        <v>1526</v>
      </c>
      <c r="DB7" s="38" t="s">
        <v>1525</v>
      </c>
      <c r="DC7" s="38" t="s">
        <v>1524</v>
      </c>
      <c r="DD7" s="38" t="s">
        <v>1523</v>
      </c>
      <c r="DE7" s="38" t="s">
        <v>1522</v>
      </c>
      <c r="DF7" s="38" t="s">
        <v>1521</v>
      </c>
      <c r="DG7" s="38" t="s">
        <v>1520</v>
      </c>
      <c r="DH7" s="38" t="s">
        <v>1519</v>
      </c>
      <c r="DI7" s="38" t="s">
        <v>1518</v>
      </c>
      <c r="DJ7" s="38" t="s">
        <v>1517</v>
      </c>
      <c r="DK7" s="37">
        <v>0</v>
      </c>
      <c r="DL7" s="38" t="s">
        <v>1516</v>
      </c>
      <c r="DM7" s="38" t="s">
        <v>1515</v>
      </c>
      <c r="DN7" s="38" t="s">
        <v>1514</v>
      </c>
      <c r="DO7" s="38" t="s">
        <v>1513</v>
      </c>
      <c r="DP7" s="38" t="s">
        <v>1512</v>
      </c>
      <c r="DQ7" s="38" t="s">
        <v>1511</v>
      </c>
      <c r="DR7" s="38" t="s">
        <v>1510</v>
      </c>
      <c r="DS7" s="38" t="s">
        <v>1509</v>
      </c>
    </row>
    <row r="8" spans="1:123">
      <c r="A8" s="37">
        <v>7</v>
      </c>
      <c r="B8" s="38" t="s">
        <v>1508</v>
      </c>
      <c r="C8" s="38" t="s">
        <v>1507</v>
      </c>
      <c r="D8" s="38" t="s">
        <v>1506</v>
      </c>
      <c r="E8" s="38" t="s">
        <v>1505</v>
      </c>
      <c r="F8" s="38" t="s">
        <v>1480</v>
      </c>
      <c r="G8" s="38" t="s">
        <v>1504</v>
      </c>
      <c r="H8" s="38" t="s">
        <v>1503</v>
      </c>
      <c r="I8" s="38" t="s">
        <v>1502</v>
      </c>
      <c r="J8" s="38" t="s">
        <v>1471</v>
      </c>
      <c r="K8" s="38" t="s">
        <v>1501</v>
      </c>
      <c r="L8" s="38" t="s">
        <v>1451</v>
      </c>
      <c r="M8" s="38" t="s">
        <v>1500</v>
      </c>
      <c r="N8" s="38" t="s">
        <v>1420</v>
      </c>
      <c r="O8" s="38" t="s">
        <v>1452</v>
      </c>
      <c r="P8" s="38" t="s">
        <v>1499</v>
      </c>
      <c r="Q8" s="38" t="s">
        <v>1498</v>
      </c>
      <c r="R8" s="38" t="s">
        <v>1479</v>
      </c>
      <c r="S8" s="38" t="s">
        <v>1497</v>
      </c>
      <c r="T8" s="38" t="s">
        <v>1427</v>
      </c>
      <c r="U8" s="38" t="s">
        <v>1428</v>
      </c>
      <c r="V8" s="38" t="s">
        <v>1496</v>
      </c>
      <c r="W8" s="38" t="s">
        <v>1495</v>
      </c>
      <c r="X8" s="38" t="s">
        <v>1494</v>
      </c>
      <c r="Y8" s="38" t="s">
        <v>1493</v>
      </c>
      <c r="Z8" s="38" t="s">
        <v>1419</v>
      </c>
      <c r="AA8" s="38" t="s">
        <v>1422</v>
      </c>
      <c r="AB8" s="38" t="s">
        <v>1492</v>
      </c>
      <c r="AC8" s="38" t="s">
        <v>1491</v>
      </c>
      <c r="AD8" s="38" t="s">
        <v>1490</v>
      </c>
      <c r="AE8" s="38" t="s">
        <v>1489</v>
      </c>
      <c r="AF8" s="38" t="s">
        <v>1479</v>
      </c>
      <c r="AG8" s="38" t="s">
        <v>1488</v>
      </c>
      <c r="AH8" s="38" t="s">
        <v>1487</v>
      </c>
      <c r="AI8" s="38" t="s">
        <v>1486</v>
      </c>
      <c r="AJ8" s="38" t="s">
        <v>1485</v>
      </c>
      <c r="AK8" s="38" t="s">
        <v>1484</v>
      </c>
      <c r="AL8" s="38" t="s">
        <v>1481</v>
      </c>
      <c r="AM8" s="38" t="s">
        <v>1483</v>
      </c>
      <c r="AN8" s="38" t="s">
        <v>1482</v>
      </c>
      <c r="AO8" s="38" t="s">
        <v>1481</v>
      </c>
      <c r="AP8" s="38" t="s">
        <v>1453</v>
      </c>
      <c r="AQ8" s="38" t="s">
        <v>1480</v>
      </c>
      <c r="AR8" s="38" t="s">
        <v>1479</v>
      </c>
      <c r="AS8" s="38" t="s">
        <v>1429</v>
      </c>
      <c r="AT8" s="38" t="s">
        <v>1478</v>
      </c>
      <c r="AU8" s="38" t="s">
        <v>1477</v>
      </c>
      <c r="AV8" s="38" t="s">
        <v>1476</v>
      </c>
      <c r="AW8" s="38" t="s">
        <v>1451</v>
      </c>
      <c r="AX8" s="38" t="s">
        <v>1450</v>
      </c>
      <c r="AY8" s="38" t="s">
        <v>1475</v>
      </c>
      <c r="AZ8" s="38" t="s">
        <v>1474</v>
      </c>
      <c r="BA8" s="38" t="s">
        <v>1473</v>
      </c>
      <c r="BB8" s="38" t="s">
        <v>1421</v>
      </c>
      <c r="BC8" s="38" t="s">
        <v>1472</v>
      </c>
      <c r="BD8" s="38" t="s">
        <v>1471</v>
      </c>
      <c r="BE8" s="38" t="s">
        <v>1470</v>
      </c>
      <c r="BF8" s="38" t="s">
        <v>1426</v>
      </c>
      <c r="BG8" s="38" t="s">
        <v>1469</v>
      </c>
      <c r="BH8" s="38" t="s">
        <v>1440</v>
      </c>
      <c r="BI8" s="38" t="s">
        <v>1455</v>
      </c>
      <c r="BJ8" s="38" t="s">
        <v>1468</v>
      </c>
      <c r="BK8" s="38" t="s">
        <v>1467</v>
      </c>
      <c r="BL8" s="38" t="s">
        <v>1435</v>
      </c>
      <c r="BM8" s="38" t="s">
        <v>1466</v>
      </c>
      <c r="BN8" s="38" t="s">
        <v>1452</v>
      </c>
      <c r="BO8" s="38" t="s">
        <v>1465</v>
      </c>
      <c r="BP8" s="38" t="s">
        <v>1429</v>
      </c>
      <c r="BQ8" s="38" t="s">
        <v>1464</v>
      </c>
      <c r="BR8" s="38" t="s">
        <v>1463</v>
      </c>
      <c r="BS8" s="38" t="s">
        <v>1462</v>
      </c>
      <c r="BT8" s="38" t="s">
        <v>1461</v>
      </c>
      <c r="BU8" s="38" t="s">
        <v>1460</v>
      </c>
      <c r="BV8" s="38" t="s">
        <v>1435</v>
      </c>
      <c r="BW8" s="38" t="s">
        <v>1459</v>
      </c>
      <c r="BX8" s="38" t="s">
        <v>1458</v>
      </c>
      <c r="BY8" s="38" t="s">
        <v>1457</v>
      </c>
      <c r="BZ8" s="38" t="s">
        <v>1456</v>
      </c>
      <c r="CA8" s="38" t="s">
        <v>1455</v>
      </c>
      <c r="CB8" s="38" t="s">
        <v>1454</v>
      </c>
      <c r="CC8" s="38" t="s">
        <v>1421</v>
      </c>
      <c r="CD8" s="38" t="s">
        <v>1453</v>
      </c>
      <c r="CE8" s="38" t="s">
        <v>1452</v>
      </c>
      <c r="CF8" s="38" t="s">
        <v>1451</v>
      </c>
      <c r="CG8" s="38" t="s">
        <v>1430</v>
      </c>
      <c r="CH8" s="38" t="s">
        <v>1450</v>
      </c>
      <c r="CI8" s="38" t="s">
        <v>1449</v>
      </c>
      <c r="CJ8" s="38" t="s">
        <v>1448</v>
      </c>
      <c r="CK8" s="38" t="s">
        <v>1447</v>
      </c>
      <c r="CL8" s="38" t="s">
        <v>1446</v>
      </c>
      <c r="CM8" s="38" t="s">
        <v>1445</v>
      </c>
      <c r="CN8" s="38" t="s">
        <v>1444</v>
      </c>
      <c r="CO8" s="38" t="s">
        <v>1443</v>
      </c>
      <c r="CP8" s="38" t="s">
        <v>1442</v>
      </c>
      <c r="CQ8" s="38" t="s">
        <v>1441</v>
      </c>
      <c r="CR8" s="38" t="s">
        <v>1440</v>
      </c>
      <c r="CS8" s="38" t="s">
        <v>1439</v>
      </c>
      <c r="CT8" s="38" t="s">
        <v>1438</v>
      </c>
      <c r="CU8" s="38" t="s">
        <v>1437</v>
      </c>
      <c r="CV8" s="38" t="s">
        <v>1436</v>
      </c>
      <c r="CW8" s="38" t="s">
        <v>1435</v>
      </c>
      <c r="CX8" s="38" t="s">
        <v>1434</v>
      </c>
      <c r="CY8" s="38" t="s">
        <v>1433</v>
      </c>
      <c r="CZ8" s="38" t="s">
        <v>1427</v>
      </c>
      <c r="DA8" s="38" t="s">
        <v>1432</v>
      </c>
      <c r="DB8" s="38" t="s">
        <v>1431</v>
      </c>
      <c r="DC8" s="38" t="s">
        <v>1421</v>
      </c>
      <c r="DD8" s="38" t="s">
        <v>1430</v>
      </c>
      <c r="DE8" s="38" t="s">
        <v>1429</v>
      </c>
      <c r="DF8" s="38" t="s">
        <v>1428</v>
      </c>
      <c r="DG8" s="38" t="s">
        <v>1427</v>
      </c>
      <c r="DH8" s="38" t="s">
        <v>1426</v>
      </c>
      <c r="DI8" s="38" t="s">
        <v>1425</v>
      </c>
      <c r="DJ8" s="38" t="s">
        <v>1424</v>
      </c>
      <c r="DK8" s="37">
        <v>0</v>
      </c>
      <c r="DL8" s="38" t="s">
        <v>1423</v>
      </c>
      <c r="DM8" s="38" t="s">
        <v>1422</v>
      </c>
      <c r="DN8" s="38" t="s">
        <v>1420</v>
      </c>
      <c r="DO8" s="38" t="s">
        <v>1421</v>
      </c>
      <c r="DP8" s="38" t="s">
        <v>1420</v>
      </c>
      <c r="DQ8" s="38" t="s">
        <v>1419</v>
      </c>
      <c r="DR8" s="38" t="s">
        <v>1418</v>
      </c>
      <c r="DS8" s="38" t="s">
        <v>1417</v>
      </c>
    </row>
    <row r="9" spans="1:123">
      <c r="A9" s="37">
        <v>8</v>
      </c>
      <c r="B9" s="38" t="s">
        <v>1416</v>
      </c>
      <c r="C9" s="38" t="s">
        <v>1415</v>
      </c>
      <c r="D9" s="38" t="s">
        <v>1414</v>
      </c>
      <c r="E9" s="38" t="s">
        <v>1413</v>
      </c>
      <c r="F9" s="38" t="s">
        <v>1400</v>
      </c>
      <c r="G9" s="38" t="s">
        <v>1413</v>
      </c>
      <c r="H9" s="38" t="s">
        <v>1406</v>
      </c>
      <c r="I9" s="38" t="s">
        <v>1412</v>
      </c>
      <c r="J9" s="38" t="s">
        <v>1411</v>
      </c>
      <c r="K9" s="38" t="s">
        <v>1333</v>
      </c>
      <c r="L9" s="38" t="s">
        <v>1410</v>
      </c>
      <c r="M9" s="38" t="s">
        <v>1409</v>
      </c>
      <c r="N9" s="38" t="s">
        <v>1329</v>
      </c>
      <c r="O9" s="38" t="s">
        <v>1334</v>
      </c>
      <c r="P9" s="38" t="s">
        <v>1408</v>
      </c>
      <c r="Q9" s="38" t="s">
        <v>1407</v>
      </c>
      <c r="R9" s="38" t="s">
        <v>1391</v>
      </c>
      <c r="S9" s="38" t="s">
        <v>1406</v>
      </c>
      <c r="T9" s="38" t="s">
        <v>1358</v>
      </c>
      <c r="U9" s="38" t="s">
        <v>1405</v>
      </c>
      <c r="V9" s="38" t="s">
        <v>1404</v>
      </c>
      <c r="W9" s="38" t="s">
        <v>1337</v>
      </c>
      <c r="X9" s="38" t="s">
        <v>1403</v>
      </c>
      <c r="Y9" s="38" t="s">
        <v>1402</v>
      </c>
      <c r="Z9" s="38" t="s">
        <v>1401</v>
      </c>
      <c r="AA9" s="38" t="s">
        <v>1400</v>
      </c>
      <c r="AB9" s="38" t="s">
        <v>1399</v>
      </c>
      <c r="AC9" s="38" t="s">
        <v>1371</v>
      </c>
      <c r="AD9" s="38" t="s">
        <v>1398</v>
      </c>
      <c r="AE9" s="38" t="s">
        <v>1397</v>
      </c>
      <c r="AF9" s="38" t="s">
        <v>1389</v>
      </c>
      <c r="AG9" s="38" t="s">
        <v>1396</v>
      </c>
      <c r="AH9" s="38" t="s">
        <v>1375</v>
      </c>
      <c r="AI9" s="38" t="s">
        <v>1355</v>
      </c>
      <c r="AJ9" s="38" t="s">
        <v>1395</v>
      </c>
      <c r="AK9" s="38" t="s">
        <v>1394</v>
      </c>
      <c r="AL9" s="38" t="s">
        <v>1338</v>
      </c>
      <c r="AM9" s="38" t="s">
        <v>1393</v>
      </c>
      <c r="AN9" s="38" t="s">
        <v>1392</v>
      </c>
      <c r="AO9" s="38" t="s">
        <v>1391</v>
      </c>
      <c r="AP9" s="38" t="s">
        <v>1390</v>
      </c>
      <c r="AQ9" s="38" t="s">
        <v>1387</v>
      </c>
      <c r="AR9" s="38" t="s">
        <v>1389</v>
      </c>
      <c r="AS9" s="38" t="s">
        <v>1388</v>
      </c>
      <c r="AT9" s="38" t="s">
        <v>1387</v>
      </c>
      <c r="AU9" s="38" t="s">
        <v>1386</v>
      </c>
      <c r="AV9" s="38" t="s">
        <v>1344</v>
      </c>
      <c r="AW9" s="38" t="s">
        <v>1341</v>
      </c>
      <c r="AX9" s="38" t="s">
        <v>1385</v>
      </c>
      <c r="AY9" s="38" t="s">
        <v>1384</v>
      </c>
      <c r="AZ9" s="38" t="s">
        <v>1383</v>
      </c>
      <c r="BA9" s="38" t="s">
        <v>1379</v>
      </c>
      <c r="BB9" s="38" t="s">
        <v>1356</v>
      </c>
      <c r="BC9" s="38" t="s">
        <v>1382</v>
      </c>
      <c r="BD9" s="38" t="s">
        <v>1367</v>
      </c>
      <c r="BE9" s="38" t="s">
        <v>1381</v>
      </c>
      <c r="BF9" s="38" t="s">
        <v>1381</v>
      </c>
      <c r="BG9" s="38" t="s">
        <v>1380</v>
      </c>
      <c r="BH9" s="38" t="s">
        <v>1379</v>
      </c>
      <c r="BI9" s="38" t="s">
        <v>1378</v>
      </c>
      <c r="BJ9" s="38" t="s">
        <v>1377</v>
      </c>
      <c r="BK9" s="38" t="s">
        <v>1376</v>
      </c>
      <c r="BL9" s="38" t="s">
        <v>1375</v>
      </c>
      <c r="BM9" s="38" t="s">
        <v>1374</v>
      </c>
      <c r="BN9" s="38" t="s">
        <v>1373</v>
      </c>
      <c r="BO9" s="38" t="s">
        <v>1372</v>
      </c>
      <c r="BP9" s="38" t="s">
        <v>1371</v>
      </c>
      <c r="BQ9" s="38" t="s">
        <v>1370</v>
      </c>
      <c r="BR9" s="38" t="s">
        <v>1369</v>
      </c>
      <c r="BS9" s="38" t="s">
        <v>1368</v>
      </c>
      <c r="BT9" s="38" t="s">
        <v>1367</v>
      </c>
      <c r="BU9" s="38" t="s">
        <v>1366</v>
      </c>
      <c r="BV9" s="38" t="s">
        <v>1331</v>
      </c>
      <c r="BW9" s="38" t="s">
        <v>1358</v>
      </c>
      <c r="BX9" s="38" t="s">
        <v>1365</v>
      </c>
      <c r="BY9" s="38" t="s">
        <v>1364</v>
      </c>
      <c r="BZ9" s="38" t="s">
        <v>1363</v>
      </c>
      <c r="CA9" s="38" t="s">
        <v>1362</v>
      </c>
      <c r="CB9" s="38" t="s">
        <v>1361</v>
      </c>
      <c r="CC9" s="38" t="s">
        <v>1336</v>
      </c>
      <c r="CD9" s="38" t="s">
        <v>1360</v>
      </c>
      <c r="CE9" s="38" t="s">
        <v>1359</v>
      </c>
      <c r="CF9" s="38" t="s">
        <v>1358</v>
      </c>
      <c r="CG9" s="38" t="s">
        <v>1357</v>
      </c>
      <c r="CH9" s="38" t="s">
        <v>1356</v>
      </c>
      <c r="CI9" s="38" t="s">
        <v>1355</v>
      </c>
      <c r="CJ9" s="38" t="s">
        <v>1354</v>
      </c>
      <c r="CK9" s="38" t="s">
        <v>1353</v>
      </c>
      <c r="CL9" s="38" t="s">
        <v>1352</v>
      </c>
      <c r="CM9" s="38" t="s">
        <v>1351</v>
      </c>
      <c r="CN9" s="38" t="s">
        <v>1350</v>
      </c>
      <c r="CO9" s="38" t="s">
        <v>1349</v>
      </c>
      <c r="CP9" s="38" t="s">
        <v>1348</v>
      </c>
      <c r="CQ9" s="38" t="s">
        <v>1347</v>
      </c>
      <c r="CR9" s="38" t="s">
        <v>1346</v>
      </c>
      <c r="CS9" s="38" t="s">
        <v>1345</v>
      </c>
      <c r="CT9" s="38" t="s">
        <v>1344</v>
      </c>
      <c r="CU9" s="38" t="s">
        <v>1343</v>
      </c>
      <c r="CV9" s="38" t="s">
        <v>1342</v>
      </c>
      <c r="CW9" s="38" t="s">
        <v>1341</v>
      </c>
      <c r="CX9" s="38" t="s">
        <v>1340</v>
      </c>
      <c r="CY9" s="38" t="s">
        <v>1339</v>
      </c>
      <c r="CZ9" s="38" t="s">
        <v>1338</v>
      </c>
      <c r="DA9" s="38" t="s">
        <v>1336</v>
      </c>
      <c r="DB9" s="38" t="s">
        <v>1337</v>
      </c>
      <c r="DC9" s="38" t="s">
        <v>1336</v>
      </c>
      <c r="DD9" s="38" t="s">
        <v>1335</v>
      </c>
      <c r="DE9" s="38" t="s">
        <v>1334</v>
      </c>
      <c r="DF9" s="38" t="s">
        <v>1333</v>
      </c>
      <c r="DG9" s="38" t="s">
        <v>1332</v>
      </c>
      <c r="DH9" s="38" t="s">
        <v>1331</v>
      </c>
      <c r="DI9" s="38" t="s">
        <v>1326</v>
      </c>
      <c r="DJ9" s="38" t="s">
        <v>1330</v>
      </c>
      <c r="DK9" s="37">
        <v>0</v>
      </c>
      <c r="DL9" s="38" t="s">
        <v>1329</v>
      </c>
      <c r="DM9" s="38" t="s">
        <v>1328</v>
      </c>
      <c r="DN9" s="38" t="s">
        <v>1327</v>
      </c>
      <c r="DO9" s="38" t="s">
        <v>1326</v>
      </c>
      <c r="DP9" s="37">
        <v>1.953125E-3</v>
      </c>
      <c r="DQ9" s="38" t="s">
        <v>1325</v>
      </c>
      <c r="DR9" s="38" t="s">
        <v>1324</v>
      </c>
      <c r="DS9" s="38" t="s">
        <v>1323</v>
      </c>
    </row>
    <row r="10" spans="1:123">
      <c r="A10" s="37">
        <v>9</v>
      </c>
      <c r="B10" s="38" t="s">
        <v>1322</v>
      </c>
      <c r="C10" s="38" t="s">
        <v>1305</v>
      </c>
      <c r="D10" s="38" t="s">
        <v>1321</v>
      </c>
      <c r="E10" s="38" t="s">
        <v>1311</v>
      </c>
      <c r="F10" s="38" t="s">
        <v>1320</v>
      </c>
      <c r="G10" s="38" t="s">
        <v>1269</v>
      </c>
      <c r="H10" s="38" t="s">
        <v>1319</v>
      </c>
      <c r="I10" s="38" t="s">
        <v>1318</v>
      </c>
      <c r="J10" s="38" t="s">
        <v>1284</v>
      </c>
      <c r="K10" s="38" t="s">
        <v>1317</v>
      </c>
      <c r="L10" s="38" t="s">
        <v>1245</v>
      </c>
      <c r="M10" s="38" t="s">
        <v>1317</v>
      </c>
      <c r="N10" s="38" t="s">
        <v>1271</v>
      </c>
      <c r="O10" s="38" t="s">
        <v>1289</v>
      </c>
      <c r="P10" s="38" t="s">
        <v>1282</v>
      </c>
      <c r="Q10" s="38" t="s">
        <v>1316</v>
      </c>
      <c r="R10" s="38" t="s">
        <v>1315</v>
      </c>
      <c r="S10" s="38" t="s">
        <v>1314</v>
      </c>
      <c r="T10" s="38" t="s">
        <v>1260</v>
      </c>
      <c r="U10" s="38" t="s">
        <v>1255</v>
      </c>
      <c r="V10" s="38" t="s">
        <v>1313</v>
      </c>
      <c r="W10" s="38" t="s">
        <v>1312</v>
      </c>
      <c r="X10" s="38" t="s">
        <v>1311</v>
      </c>
      <c r="Y10" s="38" t="s">
        <v>1310</v>
      </c>
      <c r="Z10" s="38" t="s">
        <v>1309</v>
      </c>
      <c r="AA10" s="38" t="s">
        <v>1308</v>
      </c>
      <c r="AB10" s="38" t="s">
        <v>1307</v>
      </c>
      <c r="AC10" s="38" t="s">
        <v>1241</v>
      </c>
      <c r="AD10" s="38" t="s">
        <v>1306</v>
      </c>
      <c r="AE10" s="38" t="s">
        <v>1305</v>
      </c>
      <c r="AF10" s="38" t="s">
        <v>1277</v>
      </c>
      <c r="AG10" s="38" t="s">
        <v>1304</v>
      </c>
      <c r="AH10" s="38" t="s">
        <v>1251</v>
      </c>
      <c r="AI10" s="38" t="s">
        <v>1303</v>
      </c>
      <c r="AJ10" s="38" t="s">
        <v>1302</v>
      </c>
      <c r="AK10" s="38" t="s">
        <v>1301</v>
      </c>
      <c r="AL10" s="38" t="s">
        <v>1245</v>
      </c>
      <c r="AM10" s="38" t="s">
        <v>1300</v>
      </c>
      <c r="AN10" s="38" t="s">
        <v>1299</v>
      </c>
      <c r="AO10" s="38" t="s">
        <v>1276</v>
      </c>
      <c r="AP10" s="38" t="s">
        <v>1298</v>
      </c>
      <c r="AQ10" s="38" t="s">
        <v>1245</v>
      </c>
      <c r="AR10" s="38" t="s">
        <v>1297</v>
      </c>
      <c r="AS10" s="38" t="s">
        <v>1296</v>
      </c>
      <c r="AT10" s="38" t="s">
        <v>1295</v>
      </c>
      <c r="AU10" s="38" t="s">
        <v>1294</v>
      </c>
      <c r="AV10" s="38" t="s">
        <v>1293</v>
      </c>
      <c r="AW10" s="38" t="s">
        <v>1292</v>
      </c>
      <c r="AX10" s="38" t="s">
        <v>1291</v>
      </c>
      <c r="AY10" s="38" t="s">
        <v>1290</v>
      </c>
      <c r="AZ10" s="38" t="s">
        <v>1289</v>
      </c>
      <c r="BA10" s="38" t="s">
        <v>1288</v>
      </c>
      <c r="BB10" s="38" t="s">
        <v>1250</v>
      </c>
      <c r="BC10" s="38" t="s">
        <v>1287</v>
      </c>
      <c r="BD10" s="38" t="s">
        <v>1286</v>
      </c>
      <c r="BE10" s="38" t="s">
        <v>1276</v>
      </c>
      <c r="BF10" s="38" t="s">
        <v>1277</v>
      </c>
      <c r="BG10" s="38" t="s">
        <v>1285</v>
      </c>
      <c r="BH10" s="38" t="s">
        <v>1284</v>
      </c>
      <c r="BI10" s="38" t="s">
        <v>1283</v>
      </c>
      <c r="BJ10" s="38" t="s">
        <v>1269</v>
      </c>
      <c r="BK10" s="38" t="s">
        <v>1282</v>
      </c>
      <c r="BL10" s="38" t="s">
        <v>1251</v>
      </c>
      <c r="BM10" s="38" t="s">
        <v>1281</v>
      </c>
      <c r="BN10" s="38" t="s">
        <v>1281</v>
      </c>
      <c r="BO10" s="38" t="s">
        <v>1257</v>
      </c>
      <c r="BP10" s="38" t="s">
        <v>1247</v>
      </c>
      <c r="BQ10" s="38" t="s">
        <v>1275</v>
      </c>
      <c r="BR10" s="38" t="s">
        <v>1280</v>
      </c>
      <c r="BS10" s="38" t="s">
        <v>1279</v>
      </c>
      <c r="BT10" s="38" t="s">
        <v>1238</v>
      </c>
      <c r="BU10" s="38" t="s">
        <v>1278</v>
      </c>
      <c r="BV10" s="38" t="s">
        <v>1277</v>
      </c>
      <c r="BW10" s="38" t="s">
        <v>1276</v>
      </c>
      <c r="BX10" s="38" t="s">
        <v>1275</v>
      </c>
      <c r="BY10" s="38" t="s">
        <v>1274</v>
      </c>
      <c r="BZ10" s="38" t="s">
        <v>1273</v>
      </c>
      <c r="CA10" s="38" t="s">
        <v>1272</v>
      </c>
      <c r="CB10" s="38" t="s">
        <v>1271</v>
      </c>
      <c r="CC10" s="38" t="s">
        <v>1270</v>
      </c>
      <c r="CD10" s="38" t="s">
        <v>1269</v>
      </c>
      <c r="CE10" s="38" t="s">
        <v>1252</v>
      </c>
      <c r="CF10" s="38" t="s">
        <v>1251</v>
      </c>
      <c r="CG10" s="38" t="s">
        <v>1268</v>
      </c>
      <c r="CH10" s="38" t="s">
        <v>1245</v>
      </c>
      <c r="CI10" s="38" t="s">
        <v>1267</v>
      </c>
      <c r="CJ10" s="38" t="s">
        <v>1266</v>
      </c>
      <c r="CK10" s="38" t="s">
        <v>1265</v>
      </c>
      <c r="CL10" s="38" t="s">
        <v>1264</v>
      </c>
      <c r="CM10" s="38" t="s">
        <v>1263</v>
      </c>
      <c r="CN10" s="38" t="s">
        <v>1262</v>
      </c>
      <c r="CO10" s="38" t="s">
        <v>1261</v>
      </c>
      <c r="CP10" s="38" t="s">
        <v>1260</v>
      </c>
      <c r="CQ10" s="38" t="s">
        <v>1259</v>
      </c>
      <c r="CR10" s="38" t="s">
        <v>1238</v>
      </c>
      <c r="CS10" s="38" t="s">
        <v>1258</v>
      </c>
      <c r="CT10" s="38" t="s">
        <v>1257</v>
      </c>
      <c r="CU10" s="38" t="s">
        <v>1256</v>
      </c>
      <c r="CV10" s="38" t="s">
        <v>1255</v>
      </c>
      <c r="CW10" s="38" t="s">
        <v>1240</v>
      </c>
      <c r="CX10" s="38" t="s">
        <v>1254</v>
      </c>
      <c r="CY10" s="38" t="s">
        <v>1253</v>
      </c>
      <c r="CZ10" s="38" t="s">
        <v>1252</v>
      </c>
      <c r="DA10" s="38" t="s">
        <v>1238</v>
      </c>
      <c r="DB10" s="38" t="s">
        <v>1251</v>
      </c>
      <c r="DC10" s="38" t="s">
        <v>1250</v>
      </c>
      <c r="DD10" s="38" t="s">
        <v>1249</v>
      </c>
      <c r="DE10" s="38" t="s">
        <v>1248</v>
      </c>
      <c r="DF10" s="38" t="s">
        <v>1247</v>
      </c>
      <c r="DG10" s="38" t="s">
        <v>1246</v>
      </c>
      <c r="DH10" s="38" t="s">
        <v>1245</v>
      </c>
      <c r="DI10" s="38" t="s">
        <v>1244</v>
      </c>
      <c r="DJ10" s="38" t="s">
        <v>1243</v>
      </c>
      <c r="DK10" s="38" t="s">
        <v>1242</v>
      </c>
      <c r="DL10" s="38" t="s">
        <v>1241</v>
      </c>
      <c r="DM10" s="38" t="s">
        <v>1240</v>
      </c>
      <c r="DN10" s="38" t="s">
        <v>1239</v>
      </c>
      <c r="DO10" s="38" t="s">
        <v>1238</v>
      </c>
      <c r="DP10" s="38" t="s">
        <v>1237</v>
      </c>
      <c r="DQ10" s="38" t="s">
        <v>1236</v>
      </c>
      <c r="DR10" s="38" t="s">
        <v>1235</v>
      </c>
      <c r="DS10" s="38" t="s">
        <v>1234</v>
      </c>
    </row>
    <row r="11" spans="1:123">
      <c r="A11" s="37">
        <v>10</v>
      </c>
      <c r="B11" s="38" t="s">
        <v>1233</v>
      </c>
      <c r="C11" s="38" t="s">
        <v>1198</v>
      </c>
      <c r="D11" s="38" t="s">
        <v>1232</v>
      </c>
      <c r="E11" s="38" t="s">
        <v>1231</v>
      </c>
      <c r="F11" s="38" t="s">
        <v>1184</v>
      </c>
      <c r="G11" s="38" t="s">
        <v>1230</v>
      </c>
      <c r="H11" s="38" t="s">
        <v>1229</v>
      </c>
      <c r="I11" s="38" t="s">
        <v>1228</v>
      </c>
      <c r="J11" s="38" t="s">
        <v>1155</v>
      </c>
      <c r="K11" s="38" t="s">
        <v>1220</v>
      </c>
      <c r="L11" s="38" t="s">
        <v>1145</v>
      </c>
      <c r="M11" s="38" t="s">
        <v>1227</v>
      </c>
      <c r="N11" s="38" t="s">
        <v>1226</v>
      </c>
      <c r="O11" s="38" t="s">
        <v>1225</v>
      </c>
      <c r="P11" s="38" t="s">
        <v>1224</v>
      </c>
      <c r="Q11" s="38" t="s">
        <v>1223</v>
      </c>
      <c r="R11" s="38" t="s">
        <v>1174</v>
      </c>
      <c r="S11" s="38" t="s">
        <v>1179</v>
      </c>
      <c r="T11" s="38" t="s">
        <v>1183</v>
      </c>
      <c r="U11" s="38" t="s">
        <v>1222</v>
      </c>
      <c r="V11" s="38" t="s">
        <v>1221</v>
      </c>
      <c r="W11" s="38" t="s">
        <v>1209</v>
      </c>
      <c r="X11" s="38" t="s">
        <v>1191</v>
      </c>
      <c r="Y11" s="38" t="s">
        <v>1220</v>
      </c>
      <c r="Z11" s="38" t="s">
        <v>1143</v>
      </c>
      <c r="AA11" s="38" t="s">
        <v>1219</v>
      </c>
      <c r="AB11" s="38" t="s">
        <v>1218</v>
      </c>
      <c r="AC11" s="38" t="s">
        <v>1217</v>
      </c>
      <c r="AD11" s="38" t="s">
        <v>1216</v>
      </c>
      <c r="AE11" s="38" t="s">
        <v>1215</v>
      </c>
      <c r="AF11" s="38" t="s">
        <v>1214</v>
      </c>
      <c r="AG11" s="38" t="s">
        <v>1192</v>
      </c>
      <c r="AH11" s="38" t="s">
        <v>1213</v>
      </c>
      <c r="AI11" s="38" t="s">
        <v>1212</v>
      </c>
      <c r="AJ11" s="38" t="s">
        <v>1211</v>
      </c>
      <c r="AK11" s="38" t="s">
        <v>1210</v>
      </c>
      <c r="AL11" s="38" t="s">
        <v>1209</v>
      </c>
      <c r="AM11" s="38" t="s">
        <v>1208</v>
      </c>
      <c r="AN11" s="38" t="s">
        <v>1194</v>
      </c>
      <c r="AO11" s="38" t="s">
        <v>1184</v>
      </c>
      <c r="AP11" s="38" t="s">
        <v>1194</v>
      </c>
      <c r="AQ11" s="38" t="s">
        <v>1207</v>
      </c>
      <c r="AR11" s="38" t="s">
        <v>1206</v>
      </c>
      <c r="AS11" s="38" t="s">
        <v>1161</v>
      </c>
      <c r="AT11" s="38" t="s">
        <v>1160</v>
      </c>
      <c r="AU11" s="38" t="s">
        <v>1205</v>
      </c>
      <c r="AV11" s="38" t="s">
        <v>1204</v>
      </c>
      <c r="AW11" s="38" t="s">
        <v>1203</v>
      </c>
      <c r="AX11" s="38" t="s">
        <v>1160</v>
      </c>
      <c r="AY11" s="38" t="s">
        <v>1202</v>
      </c>
      <c r="AZ11" s="38" t="s">
        <v>1201</v>
      </c>
      <c r="BA11" s="38" t="s">
        <v>1200</v>
      </c>
      <c r="BB11" s="38" t="s">
        <v>1178</v>
      </c>
      <c r="BC11" s="38" t="s">
        <v>1199</v>
      </c>
      <c r="BD11" s="38" t="s">
        <v>1147</v>
      </c>
      <c r="BE11" s="38" t="s">
        <v>1161</v>
      </c>
      <c r="BF11" s="38" t="s">
        <v>1148</v>
      </c>
      <c r="BG11" s="38" t="s">
        <v>1198</v>
      </c>
      <c r="BH11" s="38" t="s">
        <v>1197</v>
      </c>
      <c r="BI11" s="38" t="s">
        <v>1196</v>
      </c>
      <c r="BJ11" s="38" t="s">
        <v>1195</v>
      </c>
      <c r="BK11" s="38" t="s">
        <v>1194</v>
      </c>
      <c r="BL11" s="38" t="s">
        <v>1193</v>
      </c>
      <c r="BM11" s="38" t="s">
        <v>1161</v>
      </c>
      <c r="BN11" s="38" t="s">
        <v>1192</v>
      </c>
      <c r="BO11" s="38" t="s">
        <v>1191</v>
      </c>
      <c r="BP11" s="38" t="s">
        <v>1190</v>
      </c>
      <c r="BQ11" s="38" t="s">
        <v>1189</v>
      </c>
      <c r="BR11" s="38" t="s">
        <v>1188</v>
      </c>
      <c r="BS11" s="38" t="s">
        <v>1187</v>
      </c>
      <c r="BT11" s="38" t="s">
        <v>1186</v>
      </c>
      <c r="BU11" s="38" t="s">
        <v>1185</v>
      </c>
      <c r="BV11" s="38" t="s">
        <v>1184</v>
      </c>
      <c r="BW11" s="38" t="s">
        <v>1183</v>
      </c>
      <c r="BX11" s="38" t="s">
        <v>1182</v>
      </c>
      <c r="BY11" s="38" t="s">
        <v>1181</v>
      </c>
      <c r="BZ11" s="38" t="s">
        <v>1180</v>
      </c>
      <c r="CA11" s="38" t="s">
        <v>1176</v>
      </c>
      <c r="CB11" s="38" t="s">
        <v>1179</v>
      </c>
      <c r="CC11" s="38" t="s">
        <v>1178</v>
      </c>
      <c r="CD11" s="38" t="s">
        <v>1177</v>
      </c>
      <c r="CE11" s="38" t="s">
        <v>1176</v>
      </c>
      <c r="CF11" s="38" t="s">
        <v>1160</v>
      </c>
      <c r="CG11" s="38" t="s">
        <v>1175</v>
      </c>
      <c r="CH11" s="38" t="s">
        <v>1174</v>
      </c>
      <c r="CI11" s="38" t="s">
        <v>1173</v>
      </c>
      <c r="CJ11" s="38" t="s">
        <v>1172</v>
      </c>
      <c r="CK11" s="38" t="s">
        <v>1171</v>
      </c>
      <c r="CL11" s="38" t="s">
        <v>1170</v>
      </c>
      <c r="CM11" s="38" t="s">
        <v>1169</v>
      </c>
      <c r="CN11" s="38" t="s">
        <v>1168</v>
      </c>
      <c r="CO11" s="38" t="s">
        <v>1167</v>
      </c>
      <c r="CP11" s="38" t="s">
        <v>1166</v>
      </c>
      <c r="CQ11" s="38" t="s">
        <v>1165</v>
      </c>
      <c r="CR11" s="38" t="s">
        <v>1147</v>
      </c>
      <c r="CS11" s="38" t="s">
        <v>1164</v>
      </c>
      <c r="CT11" s="38" t="s">
        <v>1163</v>
      </c>
      <c r="CU11" s="38" t="s">
        <v>1162</v>
      </c>
      <c r="CV11" s="38" t="s">
        <v>1161</v>
      </c>
      <c r="CW11" s="38" t="s">
        <v>1160</v>
      </c>
      <c r="CX11" s="38" t="s">
        <v>1159</v>
      </c>
      <c r="CY11" s="38" t="s">
        <v>1158</v>
      </c>
      <c r="CZ11" s="38" t="s">
        <v>1157</v>
      </c>
      <c r="DA11" s="38" t="s">
        <v>1145</v>
      </c>
      <c r="DB11" s="38" t="s">
        <v>1156</v>
      </c>
      <c r="DC11" s="38" t="s">
        <v>1155</v>
      </c>
      <c r="DD11" s="38" t="s">
        <v>1154</v>
      </c>
      <c r="DE11" s="38" t="s">
        <v>1153</v>
      </c>
      <c r="DF11" s="38" t="s">
        <v>1153</v>
      </c>
      <c r="DG11" s="38" t="s">
        <v>1152</v>
      </c>
      <c r="DH11" s="38" t="s">
        <v>1151</v>
      </c>
      <c r="DI11" s="38" t="s">
        <v>1150</v>
      </c>
      <c r="DJ11" s="38" t="s">
        <v>1149</v>
      </c>
      <c r="DK11" s="37">
        <v>0</v>
      </c>
      <c r="DL11" s="38" t="s">
        <v>1148</v>
      </c>
      <c r="DM11" s="38" t="s">
        <v>1147</v>
      </c>
      <c r="DN11" s="38" t="s">
        <v>1146</v>
      </c>
      <c r="DO11" s="38" t="s">
        <v>1145</v>
      </c>
      <c r="DP11" s="38" t="s">
        <v>1144</v>
      </c>
      <c r="DQ11" s="38" t="s">
        <v>1143</v>
      </c>
      <c r="DR11" s="38" t="s">
        <v>1142</v>
      </c>
      <c r="DS11" s="38" t="s">
        <v>1141</v>
      </c>
    </row>
    <row r="12" spans="1:123">
      <c r="A12" s="37">
        <v>11</v>
      </c>
      <c r="B12" s="38" t="s">
        <v>1140</v>
      </c>
      <c r="C12" s="38" t="s">
        <v>1139</v>
      </c>
      <c r="D12" s="38" t="s">
        <v>1138</v>
      </c>
      <c r="E12" s="38" t="s">
        <v>1137</v>
      </c>
      <c r="F12" s="38" t="s">
        <v>1064</v>
      </c>
      <c r="G12" s="38" t="s">
        <v>1125</v>
      </c>
      <c r="H12" s="38" t="s">
        <v>1083</v>
      </c>
      <c r="I12" s="38" t="s">
        <v>1136</v>
      </c>
      <c r="J12" s="38" t="s">
        <v>1110</v>
      </c>
      <c r="K12" s="38" t="s">
        <v>1135</v>
      </c>
      <c r="L12" s="38" t="s">
        <v>1068</v>
      </c>
      <c r="M12" s="38" t="s">
        <v>1134</v>
      </c>
      <c r="N12" s="38" t="s">
        <v>1057</v>
      </c>
      <c r="O12" s="38" t="s">
        <v>1065</v>
      </c>
      <c r="P12" s="38" t="s">
        <v>1133</v>
      </c>
      <c r="Q12" s="38" t="s">
        <v>1132</v>
      </c>
      <c r="R12" s="38" t="s">
        <v>1070</v>
      </c>
      <c r="S12" s="38" t="s">
        <v>1131</v>
      </c>
      <c r="T12" s="38" t="s">
        <v>1102</v>
      </c>
      <c r="U12" s="38" t="s">
        <v>1104</v>
      </c>
      <c r="V12" s="38" t="s">
        <v>1130</v>
      </c>
      <c r="W12" s="38" t="s">
        <v>1089</v>
      </c>
      <c r="X12" s="38" t="s">
        <v>1129</v>
      </c>
      <c r="Y12" s="38" t="s">
        <v>1102</v>
      </c>
      <c r="Z12" s="38" t="s">
        <v>1128</v>
      </c>
      <c r="AA12" s="38" t="s">
        <v>1087</v>
      </c>
      <c r="AB12" s="38" t="s">
        <v>1127</v>
      </c>
      <c r="AC12" s="38" t="s">
        <v>1059</v>
      </c>
      <c r="AD12" s="38" t="s">
        <v>1126</v>
      </c>
      <c r="AE12" s="38" t="s">
        <v>1125</v>
      </c>
      <c r="AF12" s="38" t="s">
        <v>1124</v>
      </c>
      <c r="AG12" s="38" t="s">
        <v>1106</v>
      </c>
      <c r="AH12" s="38" t="s">
        <v>1068</v>
      </c>
      <c r="AI12" s="38" t="s">
        <v>1123</v>
      </c>
      <c r="AJ12" s="38" t="s">
        <v>1122</v>
      </c>
      <c r="AK12" s="38" t="s">
        <v>1121</v>
      </c>
      <c r="AL12" s="38" t="s">
        <v>1120</v>
      </c>
      <c r="AM12" s="38" t="s">
        <v>1072</v>
      </c>
      <c r="AN12" s="38" t="s">
        <v>1119</v>
      </c>
      <c r="AO12" s="38" t="s">
        <v>1118</v>
      </c>
      <c r="AP12" s="38" t="s">
        <v>1117</v>
      </c>
      <c r="AQ12" s="38" t="s">
        <v>1097</v>
      </c>
      <c r="AR12" s="38" t="s">
        <v>1113</v>
      </c>
      <c r="AS12" s="38" t="s">
        <v>1116</v>
      </c>
      <c r="AT12" s="38" t="s">
        <v>1115</v>
      </c>
      <c r="AU12" s="38" t="s">
        <v>1061</v>
      </c>
      <c r="AV12" s="38" t="s">
        <v>1114</v>
      </c>
      <c r="AW12" s="38" t="s">
        <v>1113</v>
      </c>
      <c r="AX12" s="38" t="s">
        <v>1060</v>
      </c>
      <c r="AY12" s="38" t="s">
        <v>1087</v>
      </c>
      <c r="AZ12" s="38" t="s">
        <v>1112</v>
      </c>
      <c r="BA12" s="38" t="s">
        <v>1111</v>
      </c>
      <c r="BB12" s="38" t="s">
        <v>1110</v>
      </c>
      <c r="BC12" s="38" t="s">
        <v>1109</v>
      </c>
      <c r="BD12" s="38" t="s">
        <v>1108</v>
      </c>
      <c r="BE12" s="38" t="s">
        <v>1107</v>
      </c>
      <c r="BF12" s="38" t="s">
        <v>1106</v>
      </c>
      <c r="BG12" s="38" t="s">
        <v>1100</v>
      </c>
      <c r="BH12" s="38" t="s">
        <v>1069</v>
      </c>
      <c r="BI12" s="38" t="s">
        <v>1083</v>
      </c>
      <c r="BJ12" s="38" t="s">
        <v>1105</v>
      </c>
      <c r="BK12" s="38" t="s">
        <v>1076</v>
      </c>
      <c r="BL12" s="38" t="s">
        <v>1104</v>
      </c>
      <c r="BM12" s="38" t="s">
        <v>1070</v>
      </c>
      <c r="BN12" s="38" t="s">
        <v>1066</v>
      </c>
      <c r="BO12" s="38" t="s">
        <v>1103</v>
      </c>
      <c r="BP12" s="38" t="s">
        <v>1102</v>
      </c>
      <c r="BQ12" s="38" t="s">
        <v>1101</v>
      </c>
      <c r="BR12" s="38" t="s">
        <v>1100</v>
      </c>
      <c r="BS12" s="38" t="s">
        <v>1099</v>
      </c>
      <c r="BT12" s="38" t="s">
        <v>1069</v>
      </c>
      <c r="BU12" s="38" t="s">
        <v>1098</v>
      </c>
      <c r="BV12" s="38" t="s">
        <v>1097</v>
      </c>
      <c r="BW12" s="38" t="s">
        <v>1079</v>
      </c>
      <c r="BX12" s="38" t="s">
        <v>1096</v>
      </c>
      <c r="BY12" s="38" t="s">
        <v>1095</v>
      </c>
      <c r="BZ12" s="38" t="s">
        <v>1054</v>
      </c>
      <c r="CA12" s="38" t="s">
        <v>1094</v>
      </c>
      <c r="CB12" s="38" t="s">
        <v>1093</v>
      </c>
      <c r="CC12" s="38" t="s">
        <v>1092</v>
      </c>
      <c r="CD12" s="38" t="s">
        <v>1091</v>
      </c>
      <c r="CE12" s="38" t="s">
        <v>1090</v>
      </c>
      <c r="CF12" s="38" t="s">
        <v>1089</v>
      </c>
      <c r="CG12" s="38" t="s">
        <v>1088</v>
      </c>
      <c r="CH12" s="38" t="s">
        <v>1087</v>
      </c>
      <c r="CI12" s="38" t="s">
        <v>1086</v>
      </c>
      <c r="CJ12" s="38" t="s">
        <v>1085</v>
      </c>
      <c r="CK12" s="38" t="s">
        <v>1084</v>
      </c>
      <c r="CL12" s="38" t="s">
        <v>1083</v>
      </c>
      <c r="CM12" s="38" t="s">
        <v>1082</v>
      </c>
      <c r="CN12" s="38" t="s">
        <v>1081</v>
      </c>
      <c r="CO12" s="38" t="s">
        <v>1080</v>
      </c>
      <c r="CP12" s="38" t="s">
        <v>1079</v>
      </c>
      <c r="CQ12" s="38" t="s">
        <v>1078</v>
      </c>
      <c r="CR12" s="38" t="s">
        <v>1063</v>
      </c>
      <c r="CS12" s="38" t="s">
        <v>1077</v>
      </c>
      <c r="CT12" s="38" t="s">
        <v>1076</v>
      </c>
      <c r="CU12" s="38" t="s">
        <v>1075</v>
      </c>
      <c r="CV12" s="38" t="s">
        <v>1074</v>
      </c>
      <c r="CW12" s="38" t="s">
        <v>1073</v>
      </c>
      <c r="CX12" s="38" t="s">
        <v>1072</v>
      </c>
      <c r="CY12" s="38" t="s">
        <v>1071</v>
      </c>
      <c r="CZ12" s="38" t="s">
        <v>1070</v>
      </c>
      <c r="DA12" s="38" t="s">
        <v>1069</v>
      </c>
      <c r="DB12" s="38" t="s">
        <v>1068</v>
      </c>
      <c r="DC12" s="38" t="s">
        <v>1060</v>
      </c>
      <c r="DD12" s="38" t="s">
        <v>1067</v>
      </c>
      <c r="DE12" s="38" t="s">
        <v>1065</v>
      </c>
      <c r="DF12" s="38" t="s">
        <v>1066</v>
      </c>
      <c r="DG12" s="38" t="s">
        <v>1065</v>
      </c>
      <c r="DH12" s="38" t="s">
        <v>1064</v>
      </c>
      <c r="DI12" s="38" t="s">
        <v>1063</v>
      </c>
      <c r="DJ12" s="38" t="s">
        <v>1062</v>
      </c>
      <c r="DK12" s="37">
        <v>0</v>
      </c>
      <c r="DL12" s="38" t="s">
        <v>1061</v>
      </c>
      <c r="DM12" s="38" t="s">
        <v>1060</v>
      </c>
      <c r="DN12" s="38" t="s">
        <v>1059</v>
      </c>
      <c r="DO12" s="38" t="s">
        <v>1058</v>
      </c>
      <c r="DP12" s="38" t="s">
        <v>1057</v>
      </c>
      <c r="DQ12" s="38" t="s">
        <v>1056</v>
      </c>
      <c r="DR12" s="38" t="s">
        <v>1055</v>
      </c>
      <c r="DS12" s="38" t="s">
        <v>1054</v>
      </c>
    </row>
    <row r="13" spans="1:123">
      <c r="A13" s="37">
        <v>12</v>
      </c>
      <c r="B13" s="38" t="s">
        <v>1053</v>
      </c>
      <c r="C13" s="38" t="s">
        <v>1042</v>
      </c>
      <c r="D13" s="38" t="s">
        <v>1052</v>
      </c>
      <c r="E13" s="38" t="s">
        <v>1051</v>
      </c>
      <c r="F13" s="38" t="s">
        <v>986</v>
      </c>
      <c r="G13" s="38" t="s">
        <v>1050</v>
      </c>
      <c r="H13" s="38" t="s">
        <v>1049</v>
      </c>
      <c r="I13" s="38" t="s">
        <v>1048</v>
      </c>
      <c r="J13" s="38" t="s">
        <v>1024</v>
      </c>
      <c r="K13" s="38" t="s">
        <v>1047</v>
      </c>
      <c r="L13" s="38" t="s">
        <v>1043</v>
      </c>
      <c r="M13" s="38" t="s">
        <v>1046</v>
      </c>
      <c r="N13" s="38" t="s">
        <v>964</v>
      </c>
      <c r="O13" s="38" t="s">
        <v>1045</v>
      </c>
      <c r="P13" s="38" t="s">
        <v>1008</v>
      </c>
      <c r="Q13" s="38" t="s">
        <v>1044</v>
      </c>
      <c r="R13" s="38" t="s">
        <v>1003</v>
      </c>
      <c r="S13" s="38" t="s">
        <v>1017</v>
      </c>
      <c r="T13" s="38" t="s">
        <v>1043</v>
      </c>
      <c r="U13" s="38" t="s">
        <v>1036</v>
      </c>
      <c r="V13" s="38" t="s">
        <v>1007</v>
      </c>
      <c r="W13" s="38" t="s">
        <v>976</v>
      </c>
      <c r="X13" s="38" t="s">
        <v>1042</v>
      </c>
      <c r="Y13" s="38" t="s">
        <v>964</v>
      </c>
      <c r="Z13" s="38" t="s">
        <v>1041</v>
      </c>
      <c r="AA13" s="38" t="s">
        <v>1040</v>
      </c>
      <c r="AB13" s="38" t="s">
        <v>1039</v>
      </c>
      <c r="AC13" s="38" t="s">
        <v>1038</v>
      </c>
      <c r="AD13" s="38" t="s">
        <v>979</v>
      </c>
      <c r="AE13" s="38" t="s">
        <v>1037</v>
      </c>
      <c r="AF13" s="38" t="s">
        <v>1036</v>
      </c>
      <c r="AG13" s="38" t="s">
        <v>1027</v>
      </c>
      <c r="AH13" s="38" t="s">
        <v>976</v>
      </c>
      <c r="AI13" s="38" t="s">
        <v>1035</v>
      </c>
      <c r="AJ13" s="38" t="s">
        <v>1034</v>
      </c>
      <c r="AK13" s="38" t="s">
        <v>1033</v>
      </c>
      <c r="AL13" s="38" t="s">
        <v>1028</v>
      </c>
      <c r="AM13" s="38" t="s">
        <v>1032</v>
      </c>
      <c r="AN13" s="38" t="s">
        <v>1031</v>
      </c>
      <c r="AO13" s="38" t="s">
        <v>1030</v>
      </c>
      <c r="AP13" s="38" t="s">
        <v>1029</v>
      </c>
      <c r="AQ13" s="38" t="s">
        <v>1028</v>
      </c>
      <c r="AR13" s="38" t="s">
        <v>1012</v>
      </c>
      <c r="AS13" s="38" t="s">
        <v>1027</v>
      </c>
      <c r="AT13" s="38" t="s">
        <v>1026</v>
      </c>
      <c r="AU13" s="38" t="s">
        <v>1025</v>
      </c>
      <c r="AV13" s="38" t="s">
        <v>983</v>
      </c>
      <c r="AW13" s="38" t="s">
        <v>1023</v>
      </c>
      <c r="AX13" s="38" t="s">
        <v>1024</v>
      </c>
      <c r="AY13" s="38" t="s">
        <v>1023</v>
      </c>
      <c r="AZ13" s="38" t="s">
        <v>1022</v>
      </c>
      <c r="BA13" s="38" t="s">
        <v>984</v>
      </c>
      <c r="BB13" s="38" t="s">
        <v>997</v>
      </c>
      <c r="BC13" s="38" t="s">
        <v>1021</v>
      </c>
      <c r="BD13" s="38" t="s">
        <v>1020</v>
      </c>
      <c r="BE13" s="38" t="s">
        <v>999</v>
      </c>
      <c r="BF13" s="38" t="s">
        <v>1019</v>
      </c>
      <c r="BG13" s="38" t="s">
        <v>1018</v>
      </c>
      <c r="BH13" s="38" t="s">
        <v>1006</v>
      </c>
      <c r="BI13" s="38" t="s">
        <v>1017</v>
      </c>
      <c r="BJ13" s="38" t="s">
        <v>1016</v>
      </c>
      <c r="BK13" s="38" t="s">
        <v>1015</v>
      </c>
      <c r="BL13" s="38" t="s">
        <v>1014</v>
      </c>
      <c r="BM13" s="38" t="s">
        <v>1013</v>
      </c>
      <c r="BN13" s="38" t="s">
        <v>1012</v>
      </c>
      <c r="BO13" s="38" t="s">
        <v>1011</v>
      </c>
      <c r="BP13" s="38" t="s">
        <v>1010</v>
      </c>
      <c r="BQ13" s="38" t="s">
        <v>1009</v>
      </c>
      <c r="BR13" s="38" t="s">
        <v>1008</v>
      </c>
      <c r="BS13" s="38" t="s">
        <v>1007</v>
      </c>
      <c r="BT13" s="38" t="s">
        <v>1006</v>
      </c>
      <c r="BU13" s="38" t="s">
        <v>1005</v>
      </c>
      <c r="BV13" s="38" t="s">
        <v>1004</v>
      </c>
      <c r="BW13" s="38" t="s">
        <v>1003</v>
      </c>
      <c r="BX13" s="38" t="s">
        <v>1002</v>
      </c>
      <c r="BY13" s="38" t="s">
        <v>1001</v>
      </c>
      <c r="BZ13" s="38" t="s">
        <v>1000</v>
      </c>
      <c r="CA13" s="38" t="s">
        <v>999</v>
      </c>
      <c r="CB13" s="38" t="s">
        <v>998</v>
      </c>
      <c r="CC13" s="38" t="s">
        <v>997</v>
      </c>
      <c r="CD13" s="38" t="s">
        <v>996</v>
      </c>
      <c r="CE13" s="38" t="s">
        <v>971</v>
      </c>
      <c r="CF13" s="38" t="s">
        <v>986</v>
      </c>
      <c r="CG13" s="38" t="s">
        <v>995</v>
      </c>
      <c r="CH13" s="38" t="s">
        <v>994</v>
      </c>
      <c r="CI13" s="38" t="s">
        <v>993</v>
      </c>
      <c r="CJ13" s="38" t="s">
        <v>992</v>
      </c>
      <c r="CK13" s="38" t="s">
        <v>991</v>
      </c>
      <c r="CL13" s="38" t="s">
        <v>990</v>
      </c>
      <c r="CM13" s="38" t="s">
        <v>989</v>
      </c>
      <c r="CN13" s="38" t="s">
        <v>988</v>
      </c>
      <c r="CO13" s="38" t="s">
        <v>987</v>
      </c>
      <c r="CP13" s="38" t="s">
        <v>986</v>
      </c>
      <c r="CQ13" s="38" t="s">
        <v>985</v>
      </c>
      <c r="CR13" s="38" t="s">
        <v>984</v>
      </c>
      <c r="CS13" s="38" t="s">
        <v>983</v>
      </c>
      <c r="CT13" s="38" t="s">
        <v>982</v>
      </c>
      <c r="CU13" s="38" t="s">
        <v>981</v>
      </c>
      <c r="CV13" s="38" t="s">
        <v>980</v>
      </c>
      <c r="CW13" s="38" t="s">
        <v>975</v>
      </c>
      <c r="CX13" s="38" t="s">
        <v>979</v>
      </c>
      <c r="CY13" s="38" t="s">
        <v>978</v>
      </c>
      <c r="CZ13" s="38" t="s">
        <v>977</v>
      </c>
      <c r="DA13" s="38" t="s">
        <v>976</v>
      </c>
      <c r="DB13" s="38" t="s">
        <v>967</v>
      </c>
      <c r="DC13" s="38" t="s">
        <v>975</v>
      </c>
      <c r="DD13" s="38" t="s">
        <v>974</v>
      </c>
      <c r="DE13" s="38" t="s">
        <v>973</v>
      </c>
      <c r="DF13" s="38" t="s">
        <v>972</v>
      </c>
      <c r="DG13" s="38" t="s">
        <v>971</v>
      </c>
      <c r="DH13" s="38" t="s">
        <v>970</v>
      </c>
      <c r="DI13" s="38" t="s">
        <v>969</v>
      </c>
      <c r="DJ13" s="38" t="s">
        <v>968</v>
      </c>
      <c r="DK13" s="37">
        <v>0</v>
      </c>
      <c r="DL13" s="38" t="s">
        <v>964</v>
      </c>
      <c r="DM13" s="38" t="s">
        <v>967</v>
      </c>
      <c r="DN13" s="38" t="s">
        <v>966</v>
      </c>
      <c r="DO13" s="38" t="s">
        <v>965</v>
      </c>
      <c r="DP13" s="38" t="s">
        <v>964</v>
      </c>
      <c r="DQ13" s="38" t="s">
        <v>963</v>
      </c>
      <c r="DR13" s="38" t="s">
        <v>962</v>
      </c>
      <c r="DS13" s="38" t="s">
        <v>961</v>
      </c>
    </row>
    <row r="14" spans="1:123">
      <c r="A14" s="37">
        <v>13</v>
      </c>
      <c r="B14" s="38" t="s">
        <v>960</v>
      </c>
      <c r="C14" s="38" t="s">
        <v>959</v>
      </c>
      <c r="D14" s="38" t="s">
        <v>958</v>
      </c>
      <c r="E14" s="38" t="s">
        <v>957</v>
      </c>
      <c r="F14" s="38" t="s">
        <v>922</v>
      </c>
      <c r="G14" s="38" t="s">
        <v>956</v>
      </c>
      <c r="H14" s="38" t="s">
        <v>955</v>
      </c>
      <c r="I14" s="38" t="s">
        <v>954</v>
      </c>
      <c r="J14" s="38" t="s">
        <v>929</v>
      </c>
      <c r="K14" s="38" t="s">
        <v>930</v>
      </c>
      <c r="L14" s="38" t="s">
        <v>905</v>
      </c>
      <c r="M14" s="38" t="s">
        <v>939</v>
      </c>
      <c r="N14" s="38" t="s">
        <v>953</v>
      </c>
      <c r="O14" s="38" t="s">
        <v>880</v>
      </c>
      <c r="P14" s="38" t="s">
        <v>952</v>
      </c>
      <c r="Q14" s="38" t="s">
        <v>951</v>
      </c>
      <c r="R14" s="38" t="s">
        <v>922</v>
      </c>
      <c r="S14" s="38" t="s">
        <v>950</v>
      </c>
      <c r="T14" s="38" t="s">
        <v>890</v>
      </c>
      <c r="U14" s="38" t="s">
        <v>875</v>
      </c>
      <c r="V14" s="38" t="s">
        <v>949</v>
      </c>
      <c r="W14" s="38" t="s">
        <v>889</v>
      </c>
      <c r="X14" s="38" t="s">
        <v>948</v>
      </c>
      <c r="Y14" s="38" t="s">
        <v>947</v>
      </c>
      <c r="Z14" s="38" t="s">
        <v>946</v>
      </c>
      <c r="AA14" s="38" t="s">
        <v>876</v>
      </c>
      <c r="AB14" s="38" t="s">
        <v>945</v>
      </c>
      <c r="AC14" s="38" t="s">
        <v>944</v>
      </c>
      <c r="AD14" s="38" t="s">
        <v>943</v>
      </c>
      <c r="AE14" s="38" t="s">
        <v>942</v>
      </c>
      <c r="AF14" s="38" t="s">
        <v>941</v>
      </c>
      <c r="AG14" s="38" t="s">
        <v>940</v>
      </c>
      <c r="AH14" s="38" t="s">
        <v>939</v>
      </c>
      <c r="AI14" s="38" t="s">
        <v>938</v>
      </c>
      <c r="AJ14" s="38" t="s">
        <v>937</v>
      </c>
      <c r="AK14" s="38" t="s">
        <v>936</v>
      </c>
      <c r="AL14" s="38" t="s">
        <v>905</v>
      </c>
      <c r="AM14" s="38" t="s">
        <v>877</v>
      </c>
      <c r="AN14" s="38" t="s">
        <v>934</v>
      </c>
      <c r="AO14" s="38" t="s">
        <v>935</v>
      </c>
      <c r="AP14" s="38" t="s">
        <v>934</v>
      </c>
      <c r="AQ14" s="38" t="s">
        <v>931</v>
      </c>
      <c r="AR14" s="38" t="s">
        <v>933</v>
      </c>
      <c r="AS14" s="38" t="s">
        <v>933</v>
      </c>
      <c r="AT14" s="38" t="s">
        <v>889</v>
      </c>
      <c r="AU14" s="38" t="s">
        <v>932</v>
      </c>
      <c r="AV14" s="38" t="s">
        <v>919</v>
      </c>
      <c r="AW14" s="38" t="s">
        <v>895</v>
      </c>
      <c r="AX14" s="38" t="s">
        <v>876</v>
      </c>
      <c r="AY14" s="38" t="s">
        <v>931</v>
      </c>
      <c r="AZ14" s="38" t="s">
        <v>930</v>
      </c>
      <c r="BA14" s="38" t="s">
        <v>925</v>
      </c>
      <c r="BB14" s="38" t="s">
        <v>929</v>
      </c>
      <c r="BC14" s="38" t="s">
        <v>928</v>
      </c>
      <c r="BD14" s="38" t="s">
        <v>884</v>
      </c>
      <c r="BE14" s="38" t="s">
        <v>927</v>
      </c>
      <c r="BF14" s="38" t="s">
        <v>926</v>
      </c>
      <c r="BG14" s="38" t="s">
        <v>918</v>
      </c>
      <c r="BH14" s="38" t="s">
        <v>925</v>
      </c>
      <c r="BI14" s="38" t="s">
        <v>924</v>
      </c>
      <c r="BJ14" s="38" t="s">
        <v>870</v>
      </c>
      <c r="BK14" s="38" t="s">
        <v>923</v>
      </c>
      <c r="BL14" s="38" t="s">
        <v>922</v>
      </c>
      <c r="BM14" s="38" t="s">
        <v>921</v>
      </c>
      <c r="BN14" s="38" t="s">
        <v>920</v>
      </c>
      <c r="BO14" s="38" t="s">
        <v>919</v>
      </c>
      <c r="BP14" s="38" t="s">
        <v>918</v>
      </c>
      <c r="BQ14" s="38" t="s">
        <v>917</v>
      </c>
      <c r="BR14" s="38" t="s">
        <v>916</v>
      </c>
      <c r="BS14" s="38" t="s">
        <v>902</v>
      </c>
      <c r="BT14" s="38" t="s">
        <v>908</v>
      </c>
      <c r="BU14" s="38" t="s">
        <v>915</v>
      </c>
      <c r="BV14" s="38" t="s">
        <v>890</v>
      </c>
      <c r="BW14" s="38" t="s">
        <v>914</v>
      </c>
      <c r="BX14" s="38" t="s">
        <v>913</v>
      </c>
      <c r="BY14" s="38" t="s">
        <v>912</v>
      </c>
      <c r="BZ14" s="38" t="s">
        <v>911</v>
      </c>
      <c r="CA14" s="38" t="s">
        <v>910</v>
      </c>
      <c r="CB14" s="38" t="s">
        <v>909</v>
      </c>
      <c r="CC14" s="38" t="s">
        <v>908</v>
      </c>
      <c r="CD14" s="38" t="s">
        <v>907</v>
      </c>
      <c r="CE14" s="38" t="s">
        <v>906</v>
      </c>
      <c r="CF14" s="38" t="s">
        <v>905</v>
      </c>
      <c r="CG14" s="38" t="s">
        <v>904</v>
      </c>
      <c r="CH14" s="38" t="s">
        <v>903</v>
      </c>
      <c r="CI14" s="38" t="s">
        <v>902</v>
      </c>
      <c r="CJ14" s="38" t="s">
        <v>901</v>
      </c>
      <c r="CK14" s="38" t="s">
        <v>900</v>
      </c>
      <c r="CL14" s="38" t="s">
        <v>899</v>
      </c>
      <c r="CM14" s="38" t="s">
        <v>898</v>
      </c>
      <c r="CN14" s="38" t="s">
        <v>897</v>
      </c>
      <c r="CO14" s="38" t="s">
        <v>896</v>
      </c>
      <c r="CP14" s="38" t="s">
        <v>895</v>
      </c>
      <c r="CQ14" s="38" t="s">
        <v>894</v>
      </c>
      <c r="CR14" s="38" t="s">
        <v>878</v>
      </c>
      <c r="CS14" s="38" t="s">
        <v>893</v>
      </c>
      <c r="CT14" s="38" t="s">
        <v>892</v>
      </c>
      <c r="CU14" s="38" t="s">
        <v>891</v>
      </c>
      <c r="CV14" s="38" t="s">
        <v>890</v>
      </c>
      <c r="CW14" s="38" t="s">
        <v>889</v>
      </c>
      <c r="CX14" s="38" t="s">
        <v>888</v>
      </c>
      <c r="CY14" s="38" t="s">
        <v>887</v>
      </c>
      <c r="CZ14" s="38" t="s">
        <v>886</v>
      </c>
      <c r="DA14" s="38" t="s">
        <v>879</v>
      </c>
      <c r="DB14" s="38" t="s">
        <v>885</v>
      </c>
      <c r="DC14" s="38" t="s">
        <v>884</v>
      </c>
      <c r="DD14" s="38" t="s">
        <v>883</v>
      </c>
      <c r="DE14" s="38" t="s">
        <v>882</v>
      </c>
      <c r="DF14" s="38" t="s">
        <v>881</v>
      </c>
      <c r="DG14" s="38" t="s">
        <v>880</v>
      </c>
      <c r="DH14" s="38" t="s">
        <v>879</v>
      </c>
      <c r="DI14" s="38" t="s">
        <v>878</v>
      </c>
      <c r="DJ14" s="38" t="s">
        <v>877</v>
      </c>
      <c r="DK14" s="37">
        <v>0</v>
      </c>
      <c r="DL14" s="38" t="s">
        <v>873</v>
      </c>
      <c r="DM14" s="38" t="s">
        <v>876</v>
      </c>
      <c r="DN14" s="38" t="s">
        <v>875</v>
      </c>
      <c r="DO14" s="38" t="s">
        <v>874</v>
      </c>
      <c r="DP14" s="38" t="s">
        <v>873</v>
      </c>
      <c r="DQ14" s="38" t="s">
        <v>872</v>
      </c>
      <c r="DR14" s="38" t="s">
        <v>871</v>
      </c>
      <c r="DS14" s="38" t="s">
        <v>870</v>
      </c>
    </row>
    <row r="15" spans="1:123">
      <c r="A15" s="37">
        <v>14</v>
      </c>
      <c r="B15" s="38" t="s">
        <v>869</v>
      </c>
      <c r="C15" s="38" t="s">
        <v>868</v>
      </c>
      <c r="D15" s="38" t="s">
        <v>857</v>
      </c>
      <c r="E15" s="38" t="s">
        <v>867</v>
      </c>
      <c r="F15" s="38" t="s">
        <v>846</v>
      </c>
      <c r="G15" s="38" t="s">
        <v>866</v>
      </c>
      <c r="H15" s="38" t="s">
        <v>844</v>
      </c>
      <c r="I15" s="38" t="s">
        <v>865</v>
      </c>
      <c r="J15" s="38" t="s">
        <v>864</v>
      </c>
      <c r="K15" s="38" t="s">
        <v>795</v>
      </c>
      <c r="L15" s="38" t="s">
        <v>800</v>
      </c>
      <c r="M15" s="38" t="s">
        <v>805</v>
      </c>
      <c r="N15" s="38" t="s">
        <v>863</v>
      </c>
      <c r="O15" s="38" t="s">
        <v>810</v>
      </c>
      <c r="P15" s="38" t="s">
        <v>862</v>
      </c>
      <c r="Q15" s="38" t="s">
        <v>861</v>
      </c>
      <c r="R15" s="38" t="s">
        <v>829</v>
      </c>
      <c r="S15" s="38" t="s">
        <v>860</v>
      </c>
      <c r="T15" s="38" t="s">
        <v>849</v>
      </c>
      <c r="U15" s="38" t="s">
        <v>826</v>
      </c>
      <c r="V15" s="38" t="s">
        <v>828</v>
      </c>
      <c r="W15" s="38" t="s">
        <v>799</v>
      </c>
      <c r="X15" s="38" t="s">
        <v>859</v>
      </c>
      <c r="Y15" s="38" t="s">
        <v>848</v>
      </c>
      <c r="Z15" s="38" t="s">
        <v>858</v>
      </c>
      <c r="AA15" s="38" t="s">
        <v>794</v>
      </c>
      <c r="AB15" s="38" t="s">
        <v>807</v>
      </c>
      <c r="AC15" s="38" t="s">
        <v>857</v>
      </c>
      <c r="AD15" s="38" t="s">
        <v>856</v>
      </c>
      <c r="AE15" s="38" t="s">
        <v>855</v>
      </c>
      <c r="AF15" s="38" t="s">
        <v>829</v>
      </c>
      <c r="AG15" s="38" t="s">
        <v>829</v>
      </c>
      <c r="AH15" s="38" t="s">
        <v>794</v>
      </c>
      <c r="AI15" s="38" t="s">
        <v>854</v>
      </c>
      <c r="AJ15" s="38" t="s">
        <v>853</v>
      </c>
      <c r="AK15" s="38" t="s">
        <v>852</v>
      </c>
      <c r="AL15" s="38" t="s">
        <v>806</v>
      </c>
      <c r="AM15" s="38" t="s">
        <v>851</v>
      </c>
      <c r="AN15" s="38" t="s">
        <v>850</v>
      </c>
      <c r="AO15" s="38" t="s">
        <v>849</v>
      </c>
      <c r="AP15" s="38" t="s">
        <v>839</v>
      </c>
      <c r="AQ15" s="38" t="s">
        <v>806</v>
      </c>
      <c r="AR15" s="38" t="s">
        <v>848</v>
      </c>
      <c r="AS15" s="38" t="s">
        <v>847</v>
      </c>
      <c r="AT15" s="38" t="s">
        <v>834</v>
      </c>
      <c r="AU15" s="38" t="s">
        <v>846</v>
      </c>
      <c r="AV15" s="38" t="s">
        <v>845</v>
      </c>
      <c r="AW15" s="38" t="s">
        <v>810</v>
      </c>
      <c r="AX15" s="38" t="s">
        <v>834</v>
      </c>
      <c r="AY15" s="38" t="s">
        <v>830</v>
      </c>
      <c r="AZ15" s="38" t="s">
        <v>844</v>
      </c>
      <c r="BA15" s="37">
        <v>0</v>
      </c>
      <c r="BB15" s="38" t="s">
        <v>800</v>
      </c>
      <c r="BC15" s="38" t="s">
        <v>843</v>
      </c>
      <c r="BD15" s="38" t="s">
        <v>799</v>
      </c>
      <c r="BE15" s="38" t="s">
        <v>802</v>
      </c>
      <c r="BF15" s="38" t="s">
        <v>830</v>
      </c>
      <c r="BG15" s="38" t="s">
        <v>842</v>
      </c>
      <c r="BH15" s="38" t="s">
        <v>841</v>
      </c>
      <c r="BI15" s="38" t="s">
        <v>793</v>
      </c>
      <c r="BJ15" s="38" t="s">
        <v>840</v>
      </c>
      <c r="BK15" s="38" t="s">
        <v>839</v>
      </c>
      <c r="BL15" s="38" t="s">
        <v>826</v>
      </c>
      <c r="BM15" s="38" t="s">
        <v>801</v>
      </c>
      <c r="BN15" s="38" t="s">
        <v>795</v>
      </c>
      <c r="BO15" s="38" t="s">
        <v>838</v>
      </c>
      <c r="BP15" s="38" t="s">
        <v>797</v>
      </c>
      <c r="BQ15" s="38" t="s">
        <v>837</v>
      </c>
      <c r="BR15" s="38" t="s">
        <v>831</v>
      </c>
      <c r="BS15" s="38" t="s">
        <v>836</v>
      </c>
      <c r="BT15" s="38" t="s">
        <v>794</v>
      </c>
      <c r="BU15" s="38" t="s">
        <v>835</v>
      </c>
      <c r="BV15" s="38" t="s">
        <v>834</v>
      </c>
      <c r="BW15" s="38" t="s">
        <v>834</v>
      </c>
      <c r="BX15" s="38" t="s">
        <v>833</v>
      </c>
      <c r="BY15" s="38" t="s">
        <v>817</v>
      </c>
      <c r="BZ15" s="38" t="s">
        <v>832</v>
      </c>
      <c r="CA15" s="38" t="s">
        <v>831</v>
      </c>
      <c r="CB15" s="38" t="s">
        <v>830</v>
      </c>
      <c r="CC15" s="38" t="s">
        <v>829</v>
      </c>
      <c r="CD15" s="38" t="s">
        <v>828</v>
      </c>
      <c r="CE15" s="38" t="s">
        <v>827</v>
      </c>
      <c r="CF15" s="38" t="s">
        <v>826</v>
      </c>
      <c r="CG15" s="38" t="s">
        <v>825</v>
      </c>
      <c r="CH15" s="38" t="s">
        <v>824</v>
      </c>
      <c r="CI15" s="38" t="s">
        <v>823</v>
      </c>
      <c r="CJ15" s="38" t="s">
        <v>822</v>
      </c>
      <c r="CK15" s="38" t="s">
        <v>821</v>
      </c>
      <c r="CL15" s="38" t="s">
        <v>820</v>
      </c>
      <c r="CM15" s="38" t="s">
        <v>819</v>
      </c>
      <c r="CN15" s="38" t="s">
        <v>818</v>
      </c>
      <c r="CO15" s="38" t="s">
        <v>817</v>
      </c>
      <c r="CP15" s="38" t="s">
        <v>816</v>
      </c>
      <c r="CQ15" s="38" t="s">
        <v>815</v>
      </c>
      <c r="CR15" s="38" t="s">
        <v>814</v>
      </c>
      <c r="CS15" s="38" t="s">
        <v>813</v>
      </c>
      <c r="CT15" s="38" t="s">
        <v>812</v>
      </c>
      <c r="CU15" s="38" t="s">
        <v>811</v>
      </c>
      <c r="CV15" s="38" t="s">
        <v>810</v>
      </c>
      <c r="CW15" s="38" t="s">
        <v>809</v>
      </c>
      <c r="CX15" s="38" t="s">
        <v>808</v>
      </c>
      <c r="CY15" s="38" t="s">
        <v>807</v>
      </c>
      <c r="CZ15" s="38" t="s">
        <v>806</v>
      </c>
      <c r="DA15" s="38" t="s">
        <v>796</v>
      </c>
      <c r="DB15" s="38" t="s">
        <v>805</v>
      </c>
      <c r="DC15" s="38" t="s">
        <v>796</v>
      </c>
      <c r="DD15" s="38" t="s">
        <v>804</v>
      </c>
      <c r="DE15" s="38" t="s">
        <v>803</v>
      </c>
      <c r="DF15" s="38" t="s">
        <v>802</v>
      </c>
      <c r="DG15" s="38" t="s">
        <v>801</v>
      </c>
      <c r="DH15" s="38" t="s">
        <v>800</v>
      </c>
      <c r="DI15" s="38" t="s">
        <v>799</v>
      </c>
      <c r="DJ15" s="38" t="s">
        <v>798</v>
      </c>
      <c r="DK15" s="37">
        <v>0</v>
      </c>
      <c r="DL15" s="38" t="s">
        <v>797</v>
      </c>
      <c r="DM15" s="38" t="s">
        <v>796</v>
      </c>
      <c r="DN15" s="38" t="s">
        <v>795</v>
      </c>
      <c r="DO15" s="38" t="s">
        <v>794</v>
      </c>
      <c r="DP15" s="38" t="s">
        <v>793</v>
      </c>
      <c r="DQ15" s="38" t="s">
        <v>792</v>
      </c>
      <c r="DR15" s="38" t="s">
        <v>791</v>
      </c>
      <c r="DS15" s="38" t="s">
        <v>790</v>
      </c>
    </row>
    <row r="16" spans="1:123">
      <c r="A16" s="37">
        <v>15</v>
      </c>
      <c r="B16" s="38" t="s">
        <v>789</v>
      </c>
      <c r="C16" s="38" t="s">
        <v>788</v>
      </c>
      <c r="D16" s="38" t="s">
        <v>787</v>
      </c>
      <c r="E16" s="38" t="s">
        <v>786</v>
      </c>
      <c r="F16" s="38" t="s">
        <v>764</v>
      </c>
      <c r="G16" s="38" t="s">
        <v>785</v>
      </c>
      <c r="H16" s="38" t="s">
        <v>784</v>
      </c>
      <c r="I16" s="38" t="s">
        <v>783</v>
      </c>
      <c r="J16" s="38" t="s">
        <v>724</v>
      </c>
      <c r="K16" s="38" t="s">
        <v>780</v>
      </c>
      <c r="L16" s="38" t="s">
        <v>754</v>
      </c>
      <c r="M16" s="38" t="s">
        <v>733</v>
      </c>
      <c r="N16" s="38" t="s">
        <v>758</v>
      </c>
      <c r="O16" s="38" t="s">
        <v>782</v>
      </c>
      <c r="P16" s="38" t="s">
        <v>765</v>
      </c>
      <c r="Q16" s="38" t="s">
        <v>781</v>
      </c>
      <c r="R16" s="38" t="s">
        <v>738</v>
      </c>
      <c r="S16" s="38" t="s">
        <v>773</v>
      </c>
      <c r="T16" s="38" t="s">
        <v>780</v>
      </c>
      <c r="U16" s="38" t="s">
        <v>725</v>
      </c>
      <c r="V16" s="38" t="s">
        <v>779</v>
      </c>
      <c r="W16" s="38" t="s">
        <v>764</v>
      </c>
      <c r="X16" s="38" t="s">
        <v>778</v>
      </c>
      <c r="Y16" s="38" t="s">
        <v>777</v>
      </c>
      <c r="Z16" s="38" t="s">
        <v>776</v>
      </c>
      <c r="AA16" s="38" t="s">
        <v>721</v>
      </c>
      <c r="AB16" s="38" t="s">
        <v>775</v>
      </c>
      <c r="AC16" s="38" t="s">
        <v>719</v>
      </c>
      <c r="AD16" s="38" t="s">
        <v>774</v>
      </c>
      <c r="AE16" s="38" t="s">
        <v>773</v>
      </c>
      <c r="AF16" s="38" t="s">
        <v>747</v>
      </c>
      <c r="AG16" s="38" t="s">
        <v>738</v>
      </c>
      <c r="AH16" s="38" t="s">
        <v>772</v>
      </c>
      <c r="AI16" s="38" t="s">
        <v>771</v>
      </c>
      <c r="AJ16" s="38" t="s">
        <v>770</v>
      </c>
      <c r="AK16" s="38" t="s">
        <v>769</v>
      </c>
      <c r="AL16" s="38" t="s">
        <v>754</v>
      </c>
      <c r="AM16" s="38" t="s">
        <v>768</v>
      </c>
      <c r="AN16" s="38" t="s">
        <v>759</v>
      </c>
      <c r="AO16" s="38" t="s">
        <v>754</v>
      </c>
      <c r="AP16" s="38" t="s">
        <v>767</v>
      </c>
      <c r="AQ16" s="38" t="s">
        <v>766</v>
      </c>
      <c r="AR16" s="38" t="s">
        <v>738</v>
      </c>
      <c r="AS16" s="38" t="s">
        <v>733</v>
      </c>
      <c r="AT16" s="38" t="s">
        <v>749</v>
      </c>
      <c r="AU16" s="38" t="s">
        <v>758</v>
      </c>
      <c r="AV16" s="38" t="s">
        <v>765</v>
      </c>
      <c r="AW16" s="38" t="s">
        <v>764</v>
      </c>
      <c r="AX16" s="38" t="s">
        <v>763</v>
      </c>
      <c r="AY16" s="38" t="s">
        <v>762</v>
      </c>
      <c r="AZ16" s="38" t="s">
        <v>726</v>
      </c>
      <c r="BA16" s="38" t="s">
        <v>724</v>
      </c>
      <c r="BB16" s="38" t="s">
        <v>721</v>
      </c>
      <c r="BC16" s="38" t="s">
        <v>761</v>
      </c>
      <c r="BD16" s="38" t="s">
        <v>724</v>
      </c>
      <c r="BE16" s="38" t="s">
        <v>728</v>
      </c>
      <c r="BF16" s="38" t="s">
        <v>738</v>
      </c>
      <c r="BG16" s="38" t="s">
        <v>760</v>
      </c>
      <c r="BH16" s="38" t="s">
        <v>724</v>
      </c>
      <c r="BI16" s="38" t="s">
        <v>742</v>
      </c>
      <c r="BJ16" s="38" t="s">
        <v>743</v>
      </c>
      <c r="BK16" s="38" t="s">
        <v>759</v>
      </c>
      <c r="BL16" s="38" t="s">
        <v>754</v>
      </c>
      <c r="BM16" s="38" t="s">
        <v>721</v>
      </c>
      <c r="BN16" s="38" t="s">
        <v>722</v>
      </c>
      <c r="BO16" s="38" t="s">
        <v>736</v>
      </c>
      <c r="BP16" s="38" t="s">
        <v>758</v>
      </c>
      <c r="BQ16" s="38" t="s">
        <v>757</v>
      </c>
      <c r="BR16" s="38" t="s">
        <v>750</v>
      </c>
      <c r="BS16" s="38" t="s">
        <v>756</v>
      </c>
      <c r="BT16" s="38" t="s">
        <v>749</v>
      </c>
      <c r="BU16" s="38" t="s">
        <v>755</v>
      </c>
      <c r="BV16" s="38" t="s">
        <v>754</v>
      </c>
      <c r="BW16" s="38" t="s">
        <v>720</v>
      </c>
      <c r="BX16" s="38" t="s">
        <v>753</v>
      </c>
      <c r="BY16" s="38" t="s">
        <v>752</v>
      </c>
      <c r="BZ16" s="38" t="s">
        <v>751</v>
      </c>
      <c r="CA16" s="38" t="s">
        <v>722</v>
      </c>
      <c r="CB16" s="38" t="s">
        <v>750</v>
      </c>
      <c r="CC16" s="38" t="s">
        <v>749</v>
      </c>
      <c r="CD16" s="38" t="s">
        <v>748</v>
      </c>
      <c r="CE16" s="38" t="s">
        <v>728</v>
      </c>
      <c r="CF16" s="38" t="s">
        <v>747</v>
      </c>
      <c r="CG16" s="38" t="s">
        <v>746</v>
      </c>
      <c r="CH16" s="38" t="s">
        <v>725</v>
      </c>
      <c r="CI16" s="38" t="s">
        <v>745</v>
      </c>
      <c r="CJ16" s="38" t="s">
        <v>744</v>
      </c>
      <c r="CK16" s="38" t="s">
        <v>743</v>
      </c>
      <c r="CL16" s="38" t="s">
        <v>742</v>
      </c>
      <c r="CM16" s="38" t="s">
        <v>741</v>
      </c>
      <c r="CN16" s="38" t="s">
        <v>740</v>
      </c>
      <c r="CO16" s="38" t="s">
        <v>739</v>
      </c>
      <c r="CP16" s="38" t="s">
        <v>738</v>
      </c>
      <c r="CQ16" s="38" t="s">
        <v>737</v>
      </c>
      <c r="CR16" s="37">
        <v>0</v>
      </c>
      <c r="CS16" s="38" t="s">
        <v>736</v>
      </c>
      <c r="CT16" s="38" t="s">
        <v>735</v>
      </c>
      <c r="CU16" s="38" t="s">
        <v>734</v>
      </c>
      <c r="CV16" s="38" t="s">
        <v>733</v>
      </c>
      <c r="CW16" s="38" t="s">
        <v>725</v>
      </c>
      <c r="CX16" s="38" t="s">
        <v>732</v>
      </c>
      <c r="CY16" s="38" t="s">
        <v>731</v>
      </c>
      <c r="CZ16" s="38" t="s">
        <v>721</v>
      </c>
      <c r="DA16" s="38" t="s">
        <v>725</v>
      </c>
      <c r="DB16" s="38" t="s">
        <v>721</v>
      </c>
      <c r="DC16" s="38" t="s">
        <v>730</v>
      </c>
      <c r="DD16" s="38" t="s">
        <v>729</v>
      </c>
      <c r="DE16" s="38" t="s">
        <v>728</v>
      </c>
      <c r="DF16" s="38" t="s">
        <v>727</v>
      </c>
      <c r="DG16" s="38" t="s">
        <v>726</v>
      </c>
      <c r="DH16" s="38" t="s">
        <v>725</v>
      </c>
      <c r="DI16" s="38" t="s">
        <v>724</v>
      </c>
      <c r="DJ16" s="38" t="s">
        <v>723</v>
      </c>
      <c r="DK16" s="37">
        <v>0</v>
      </c>
      <c r="DL16" s="38" t="s">
        <v>722</v>
      </c>
      <c r="DM16" s="38" t="s">
        <v>721</v>
      </c>
      <c r="DN16" s="38" t="s">
        <v>720</v>
      </c>
      <c r="DO16" s="38" t="s">
        <v>720</v>
      </c>
      <c r="DP16" s="38" t="s">
        <v>719</v>
      </c>
      <c r="DQ16" s="38" t="s">
        <v>718</v>
      </c>
      <c r="DR16" s="38" t="s">
        <v>717</v>
      </c>
      <c r="DS16" s="38" t="s">
        <v>716</v>
      </c>
    </row>
    <row r="17" spans="1:123">
      <c r="A17" s="37">
        <v>16</v>
      </c>
      <c r="B17" s="38" t="s">
        <v>715</v>
      </c>
      <c r="C17" s="38" t="s">
        <v>714</v>
      </c>
      <c r="D17" s="38" t="s">
        <v>660</v>
      </c>
      <c r="E17" s="38" t="s">
        <v>713</v>
      </c>
      <c r="F17" s="38" t="s">
        <v>712</v>
      </c>
      <c r="G17" s="38" t="s">
        <v>711</v>
      </c>
      <c r="H17" s="38" t="s">
        <v>682</v>
      </c>
      <c r="I17" s="38" t="s">
        <v>710</v>
      </c>
      <c r="J17" s="38" t="s">
        <v>640</v>
      </c>
      <c r="K17" s="38" t="s">
        <v>670</v>
      </c>
      <c r="L17" s="38" t="s">
        <v>705</v>
      </c>
      <c r="M17" s="38" t="s">
        <v>709</v>
      </c>
      <c r="N17" s="38" t="s">
        <v>684</v>
      </c>
      <c r="O17" s="38" t="s">
        <v>652</v>
      </c>
      <c r="P17" s="38" t="s">
        <v>708</v>
      </c>
      <c r="Q17" s="38" t="s">
        <v>707</v>
      </c>
      <c r="R17" s="38" t="s">
        <v>678</v>
      </c>
      <c r="S17" s="38" t="s">
        <v>682</v>
      </c>
      <c r="T17" s="38" t="s">
        <v>668</v>
      </c>
      <c r="U17" s="38" t="s">
        <v>644</v>
      </c>
      <c r="V17" s="38" t="s">
        <v>706</v>
      </c>
      <c r="W17" s="38" t="s">
        <v>705</v>
      </c>
      <c r="X17" s="38" t="s">
        <v>704</v>
      </c>
      <c r="Y17" s="38" t="s">
        <v>670</v>
      </c>
      <c r="Z17" s="38" t="s">
        <v>703</v>
      </c>
      <c r="AA17" s="38" t="s">
        <v>702</v>
      </c>
      <c r="AB17" s="38" t="s">
        <v>701</v>
      </c>
      <c r="AC17" s="38" t="s">
        <v>670</v>
      </c>
      <c r="AD17" s="38" t="s">
        <v>700</v>
      </c>
      <c r="AE17" s="38" t="s">
        <v>699</v>
      </c>
      <c r="AF17" s="38" t="s">
        <v>692</v>
      </c>
      <c r="AG17" s="38" t="s">
        <v>692</v>
      </c>
      <c r="AH17" s="38" t="s">
        <v>649</v>
      </c>
      <c r="AI17" s="38" t="s">
        <v>698</v>
      </c>
      <c r="AJ17" s="38" t="s">
        <v>697</v>
      </c>
      <c r="AK17" s="38" t="s">
        <v>696</v>
      </c>
      <c r="AL17" s="38" t="s">
        <v>683</v>
      </c>
      <c r="AM17" s="38" t="s">
        <v>695</v>
      </c>
      <c r="AN17" s="38" t="s">
        <v>694</v>
      </c>
      <c r="AO17" s="38" t="s">
        <v>692</v>
      </c>
      <c r="AP17" s="38" t="s">
        <v>693</v>
      </c>
      <c r="AQ17" s="38" t="s">
        <v>692</v>
      </c>
      <c r="AR17" s="38" t="s">
        <v>689</v>
      </c>
      <c r="AS17" s="38" t="s">
        <v>691</v>
      </c>
      <c r="AT17" s="38" t="s">
        <v>683</v>
      </c>
      <c r="AU17" s="38" t="s">
        <v>652</v>
      </c>
      <c r="AV17" s="38" t="s">
        <v>690</v>
      </c>
      <c r="AW17" s="38" t="s">
        <v>639</v>
      </c>
      <c r="AX17" s="38" t="s">
        <v>689</v>
      </c>
      <c r="AY17" s="38" t="s">
        <v>639</v>
      </c>
      <c r="AZ17" s="38" t="s">
        <v>688</v>
      </c>
      <c r="BA17" s="38" t="s">
        <v>687</v>
      </c>
      <c r="BB17" s="38" t="s">
        <v>686</v>
      </c>
      <c r="BC17" s="38" t="s">
        <v>685</v>
      </c>
      <c r="BD17" s="38" t="s">
        <v>643</v>
      </c>
      <c r="BE17" s="38" t="s">
        <v>675</v>
      </c>
      <c r="BF17" s="38" t="s">
        <v>684</v>
      </c>
      <c r="BG17" s="38" t="s">
        <v>645</v>
      </c>
      <c r="BH17" s="38" t="s">
        <v>683</v>
      </c>
      <c r="BI17" s="38" t="s">
        <v>682</v>
      </c>
      <c r="BJ17" s="38" t="s">
        <v>681</v>
      </c>
      <c r="BK17" s="38" t="s">
        <v>680</v>
      </c>
      <c r="BL17" s="38" t="s">
        <v>679</v>
      </c>
      <c r="BM17" s="38" t="s">
        <v>678</v>
      </c>
      <c r="BN17" s="38" t="s">
        <v>658</v>
      </c>
      <c r="BO17" s="38" t="s">
        <v>677</v>
      </c>
      <c r="BP17" s="38" t="s">
        <v>650</v>
      </c>
      <c r="BQ17" s="38" t="s">
        <v>676</v>
      </c>
      <c r="BR17" s="38" t="s">
        <v>675</v>
      </c>
      <c r="BS17" s="38" t="s">
        <v>674</v>
      </c>
      <c r="BT17" s="38" t="s">
        <v>640</v>
      </c>
      <c r="BU17" s="38" t="s">
        <v>634</v>
      </c>
      <c r="BV17" s="38" t="s">
        <v>639</v>
      </c>
      <c r="BW17" s="38" t="s">
        <v>668</v>
      </c>
      <c r="BX17" s="38" t="s">
        <v>673</v>
      </c>
      <c r="BY17" s="38" t="s">
        <v>672</v>
      </c>
      <c r="BZ17" s="38" t="s">
        <v>671</v>
      </c>
      <c r="CA17" s="38" t="s">
        <v>670</v>
      </c>
      <c r="CB17" s="38" t="s">
        <v>669</v>
      </c>
      <c r="CC17" s="38" t="s">
        <v>668</v>
      </c>
      <c r="CD17" s="38" t="s">
        <v>667</v>
      </c>
      <c r="CE17" s="38" t="s">
        <v>650</v>
      </c>
      <c r="CF17" s="38" t="s">
        <v>666</v>
      </c>
      <c r="CG17" s="38" t="s">
        <v>665</v>
      </c>
      <c r="CH17" s="38" t="s">
        <v>664</v>
      </c>
      <c r="CI17" s="38" t="s">
        <v>663</v>
      </c>
      <c r="CJ17" s="38" t="s">
        <v>662</v>
      </c>
      <c r="CK17" s="38" t="s">
        <v>661</v>
      </c>
      <c r="CL17" s="38" t="s">
        <v>660</v>
      </c>
      <c r="CM17" s="38" t="s">
        <v>659</v>
      </c>
      <c r="CN17" s="38" t="s">
        <v>658</v>
      </c>
      <c r="CO17" s="38" t="s">
        <v>657</v>
      </c>
      <c r="CP17" s="38" t="s">
        <v>656</v>
      </c>
      <c r="CQ17" s="38" t="s">
        <v>655</v>
      </c>
      <c r="CR17" s="38" t="s">
        <v>638</v>
      </c>
      <c r="CS17" s="38" t="s">
        <v>654</v>
      </c>
      <c r="CT17" s="38" t="s">
        <v>654</v>
      </c>
      <c r="CU17" s="38" t="s">
        <v>653</v>
      </c>
      <c r="CV17" s="38" t="s">
        <v>652</v>
      </c>
      <c r="CW17" s="38" t="s">
        <v>649</v>
      </c>
      <c r="CX17" s="38" t="s">
        <v>651</v>
      </c>
      <c r="CY17" s="38" t="s">
        <v>645</v>
      </c>
      <c r="CZ17" s="38" t="s">
        <v>650</v>
      </c>
      <c r="DA17" s="38" t="s">
        <v>649</v>
      </c>
      <c r="DB17" s="38" t="s">
        <v>639</v>
      </c>
      <c r="DC17" s="38" t="s">
        <v>640</v>
      </c>
      <c r="DD17" s="38" t="s">
        <v>648</v>
      </c>
      <c r="DE17" s="38" t="s">
        <v>647</v>
      </c>
      <c r="DF17" s="38" t="s">
        <v>646</v>
      </c>
      <c r="DG17" s="38" t="s">
        <v>645</v>
      </c>
      <c r="DH17" s="38" t="s">
        <v>644</v>
      </c>
      <c r="DI17" s="38" t="s">
        <v>643</v>
      </c>
      <c r="DJ17" s="38" t="s">
        <v>642</v>
      </c>
      <c r="DK17" s="37">
        <v>0</v>
      </c>
      <c r="DL17" s="38" t="s">
        <v>641</v>
      </c>
      <c r="DM17" s="38" t="s">
        <v>640</v>
      </c>
      <c r="DN17" s="38" t="s">
        <v>639</v>
      </c>
      <c r="DO17" s="38" t="s">
        <v>638</v>
      </c>
      <c r="DP17" s="38" t="s">
        <v>637</v>
      </c>
      <c r="DQ17" s="38" t="s">
        <v>636</v>
      </c>
      <c r="DR17" s="38" t="s">
        <v>635</v>
      </c>
      <c r="DS17" s="38" t="s">
        <v>634</v>
      </c>
    </row>
    <row r="18" spans="1:123">
      <c r="A18" s="37">
        <v>17</v>
      </c>
      <c r="B18" s="38" t="s">
        <v>574</v>
      </c>
      <c r="C18" s="38" t="s">
        <v>591</v>
      </c>
      <c r="D18" s="38" t="s">
        <v>604</v>
      </c>
      <c r="E18" s="38" t="s">
        <v>633</v>
      </c>
      <c r="F18" s="38" t="s">
        <v>616</v>
      </c>
      <c r="G18" s="38" t="s">
        <v>632</v>
      </c>
      <c r="H18" s="38" t="s">
        <v>613</v>
      </c>
      <c r="I18" s="38" t="s">
        <v>631</v>
      </c>
      <c r="J18" s="38" t="s">
        <v>570</v>
      </c>
      <c r="K18" s="38" t="s">
        <v>567</v>
      </c>
      <c r="L18" s="38" t="s">
        <v>570</v>
      </c>
      <c r="M18" s="38" t="s">
        <v>626</v>
      </c>
      <c r="N18" s="38" t="s">
        <v>630</v>
      </c>
      <c r="O18" s="38" t="s">
        <v>629</v>
      </c>
      <c r="P18" s="38" t="s">
        <v>628</v>
      </c>
      <c r="Q18" s="38" t="s">
        <v>627</v>
      </c>
      <c r="R18" s="38" t="s">
        <v>626</v>
      </c>
      <c r="S18" s="38" t="s">
        <v>604</v>
      </c>
      <c r="T18" s="38" t="s">
        <v>595</v>
      </c>
      <c r="U18" s="38" t="s">
        <v>595</v>
      </c>
      <c r="V18" s="38" t="s">
        <v>586</v>
      </c>
      <c r="W18" s="38" t="s">
        <v>609</v>
      </c>
      <c r="X18" s="38" t="s">
        <v>618</v>
      </c>
      <c r="Y18" s="38" t="s">
        <v>567</v>
      </c>
      <c r="Z18" s="38" t="s">
        <v>625</v>
      </c>
      <c r="AA18" s="38" t="s">
        <v>561</v>
      </c>
      <c r="AB18" s="38" t="s">
        <v>624</v>
      </c>
      <c r="AC18" s="38" t="s">
        <v>560</v>
      </c>
      <c r="AD18" s="38" t="s">
        <v>623</v>
      </c>
      <c r="AE18" s="38" t="s">
        <v>572</v>
      </c>
      <c r="AF18" s="38" t="s">
        <v>589</v>
      </c>
      <c r="AG18" s="38" t="s">
        <v>571</v>
      </c>
      <c r="AH18" s="38" t="s">
        <v>598</v>
      </c>
      <c r="AI18" s="38" t="s">
        <v>622</v>
      </c>
      <c r="AJ18" s="38" t="s">
        <v>621</v>
      </c>
      <c r="AK18" s="38" t="s">
        <v>620</v>
      </c>
      <c r="AL18" s="38" t="s">
        <v>595</v>
      </c>
      <c r="AM18" s="38" t="s">
        <v>619</v>
      </c>
      <c r="AN18" s="38" t="s">
        <v>618</v>
      </c>
      <c r="AO18" s="38" t="s">
        <v>616</v>
      </c>
      <c r="AP18" s="38" t="s">
        <v>617</v>
      </c>
      <c r="AQ18" s="38" t="s">
        <v>616</v>
      </c>
      <c r="AR18" s="38" t="s">
        <v>615</v>
      </c>
      <c r="AS18" s="38" t="s">
        <v>614</v>
      </c>
      <c r="AT18" s="38" t="s">
        <v>566</v>
      </c>
      <c r="AU18" s="38" t="s">
        <v>560</v>
      </c>
      <c r="AV18" s="38" t="s">
        <v>613</v>
      </c>
      <c r="AW18" s="38" t="s">
        <v>611</v>
      </c>
      <c r="AX18" s="38" t="s">
        <v>612</v>
      </c>
      <c r="AY18" s="38" t="s">
        <v>611</v>
      </c>
      <c r="AZ18" s="38" t="s">
        <v>610</v>
      </c>
      <c r="BA18" s="37">
        <v>0</v>
      </c>
      <c r="BB18" s="38" t="s">
        <v>609</v>
      </c>
      <c r="BC18" s="38" t="s">
        <v>608</v>
      </c>
      <c r="BD18" s="38" t="s">
        <v>565</v>
      </c>
      <c r="BE18" s="38" t="s">
        <v>607</v>
      </c>
      <c r="BF18" s="38" t="s">
        <v>571</v>
      </c>
      <c r="BG18" s="38" t="s">
        <v>606</v>
      </c>
      <c r="BH18" s="38" t="s">
        <v>605</v>
      </c>
      <c r="BI18" s="38" t="s">
        <v>604</v>
      </c>
      <c r="BJ18" s="38" t="s">
        <v>584</v>
      </c>
      <c r="BK18" s="38" t="s">
        <v>602</v>
      </c>
      <c r="BL18" s="38" t="s">
        <v>566</v>
      </c>
      <c r="BM18" s="38" t="s">
        <v>603</v>
      </c>
      <c r="BN18" s="38" t="s">
        <v>560</v>
      </c>
      <c r="BO18" s="38" t="s">
        <v>602</v>
      </c>
      <c r="BP18" s="38" t="s">
        <v>601</v>
      </c>
      <c r="BQ18" s="38" t="s">
        <v>600</v>
      </c>
      <c r="BR18" s="38" t="s">
        <v>599</v>
      </c>
      <c r="BS18" s="38" t="s">
        <v>586</v>
      </c>
      <c r="BT18" s="38" t="s">
        <v>598</v>
      </c>
      <c r="BU18" s="38" t="s">
        <v>597</v>
      </c>
      <c r="BV18" s="38" t="s">
        <v>596</v>
      </c>
      <c r="BW18" s="38" t="s">
        <v>595</v>
      </c>
      <c r="BX18" s="38" t="s">
        <v>594</v>
      </c>
      <c r="BY18" s="38" t="s">
        <v>593</v>
      </c>
      <c r="BZ18" s="38" t="s">
        <v>557</v>
      </c>
      <c r="CA18" s="38" t="s">
        <v>592</v>
      </c>
      <c r="CB18" s="38" t="s">
        <v>563</v>
      </c>
      <c r="CC18" s="38" t="s">
        <v>566</v>
      </c>
      <c r="CD18" s="38" t="s">
        <v>591</v>
      </c>
      <c r="CE18" s="38" t="s">
        <v>590</v>
      </c>
      <c r="CF18" s="38" t="s">
        <v>589</v>
      </c>
      <c r="CG18" s="38" t="s">
        <v>588</v>
      </c>
      <c r="CH18" s="38" t="s">
        <v>587</v>
      </c>
      <c r="CI18" s="38" t="s">
        <v>586</v>
      </c>
      <c r="CJ18" s="38" t="s">
        <v>585</v>
      </c>
      <c r="CK18" s="38" t="s">
        <v>584</v>
      </c>
      <c r="CL18" s="38" t="s">
        <v>583</v>
      </c>
      <c r="CM18" s="38" t="s">
        <v>582</v>
      </c>
      <c r="CN18" s="38" t="s">
        <v>581</v>
      </c>
      <c r="CO18" s="38" t="s">
        <v>580</v>
      </c>
      <c r="CP18" s="38" t="s">
        <v>579</v>
      </c>
      <c r="CQ18" s="38" t="s">
        <v>578</v>
      </c>
      <c r="CR18" s="38" t="s">
        <v>577</v>
      </c>
      <c r="CS18" s="38" t="s">
        <v>576</v>
      </c>
      <c r="CT18" s="38" t="s">
        <v>575</v>
      </c>
      <c r="CU18" s="38" t="s">
        <v>574</v>
      </c>
      <c r="CV18" s="38" t="s">
        <v>563</v>
      </c>
      <c r="CW18" s="38" t="s">
        <v>570</v>
      </c>
      <c r="CX18" s="38" t="s">
        <v>573</v>
      </c>
      <c r="CY18" s="38" t="s">
        <v>572</v>
      </c>
      <c r="CZ18" s="38" t="s">
        <v>571</v>
      </c>
      <c r="DA18" s="38" t="s">
        <v>561</v>
      </c>
      <c r="DB18" s="38" t="s">
        <v>561</v>
      </c>
      <c r="DC18" s="38" t="s">
        <v>570</v>
      </c>
      <c r="DD18" s="38" t="s">
        <v>569</v>
      </c>
      <c r="DE18" s="38" t="s">
        <v>568</v>
      </c>
      <c r="DF18" s="38" t="s">
        <v>567</v>
      </c>
      <c r="DG18" s="38" t="s">
        <v>566</v>
      </c>
      <c r="DH18" s="38" t="s">
        <v>566</v>
      </c>
      <c r="DI18" s="38" t="s">
        <v>565</v>
      </c>
      <c r="DJ18" s="38" t="s">
        <v>564</v>
      </c>
      <c r="DK18" s="37">
        <v>0</v>
      </c>
      <c r="DL18" s="38" t="s">
        <v>563</v>
      </c>
      <c r="DM18" s="38" t="s">
        <v>561</v>
      </c>
      <c r="DN18" s="38" t="s">
        <v>562</v>
      </c>
      <c r="DO18" s="38" t="s">
        <v>561</v>
      </c>
      <c r="DP18" s="38" t="s">
        <v>560</v>
      </c>
      <c r="DQ18" s="38" t="s">
        <v>559</v>
      </c>
      <c r="DR18" s="38" t="s">
        <v>558</v>
      </c>
      <c r="DS18" s="38" t="s">
        <v>557</v>
      </c>
    </row>
    <row r="19" spans="1:123">
      <c r="A19" s="37">
        <v>18</v>
      </c>
      <c r="B19" s="38" t="s">
        <v>556</v>
      </c>
      <c r="C19" s="38" t="s">
        <v>555</v>
      </c>
      <c r="D19" s="38" t="s">
        <v>549</v>
      </c>
      <c r="E19" s="38" t="s">
        <v>554</v>
      </c>
      <c r="F19" s="38" t="s">
        <v>499</v>
      </c>
      <c r="G19" s="38" t="s">
        <v>553</v>
      </c>
      <c r="H19" s="38" t="s">
        <v>483</v>
      </c>
      <c r="I19" s="38" t="s">
        <v>552</v>
      </c>
      <c r="J19" s="38" t="s">
        <v>527</v>
      </c>
      <c r="K19" s="38" t="s">
        <v>551</v>
      </c>
      <c r="L19" s="38" t="s">
        <v>550</v>
      </c>
      <c r="M19" s="38" t="s">
        <v>496</v>
      </c>
      <c r="N19" s="38" t="s">
        <v>549</v>
      </c>
      <c r="O19" s="38" t="s">
        <v>548</v>
      </c>
      <c r="P19" s="38" t="s">
        <v>523</v>
      </c>
      <c r="Q19" s="38" t="s">
        <v>547</v>
      </c>
      <c r="R19" s="38" t="s">
        <v>541</v>
      </c>
      <c r="S19" s="38" t="s">
        <v>483</v>
      </c>
      <c r="T19" s="38" t="s">
        <v>536</v>
      </c>
      <c r="U19" s="38" t="s">
        <v>499</v>
      </c>
      <c r="V19" s="38" t="s">
        <v>482</v>
      </c>
      <c r="W19" s="38" t="s">
        <v>499</v>
      </c>
      <c r="X19" s="38" t="s">
        <v>546</v>
      </c>
      <c r="Y19" s="38" t="s">
        <v>545</v>
      </c>
      <c r="Z19" s="38" t="s">
        <v>543</v>
      </c>
      <c r="AA19" s="38" t="s">
        <v>527</v>
      </c>
      <c r="AB19" s="38" t="s">
        <v>487</v>
      </c>
      <c r="AC19" s="38" t="s">
        <v>544</v>
      </c>
      <c r="AD19" s="38" t="s">
        <v>543</v>
      </c>
      <c r="AE19" s="38" t="s">
        <v>542</v>
      </c>
      <c r="AF19" s="38" t="s">
        <v>541</v>
      </c>
      <c r="AG19" s="38" t="s">
        <v>489</v>
      </c>
      <c r="AH19" s="38" t="s">
        <v>527</v>
      </c>
      <c r="AI19" s="38" t="s">
        <v>501</v>
      </c>
      <c r="AJ19" s="38" t="s">
        <v>519</v>
      </c>
      <c r="AK19" s="38" t="s">
        <v>540</v>
      </c>
      <c r="AL19" s="38" t="s">
        <v>495</v>
      </c>
      <c r="AM19" s="38" t="s">
        <v>539</v>
      </c>
      <c r="AN19" s="38" t="s">
        <v>538</v>
      </c>
      <c r="AO19" s="38" t="s">
        <v>499</v>
      </c>
      <c r="AP19" s="38" t="s">
        <v>537</v>
      </c>
      <c r="AQ19" s="38" t="s">
        <v>536</v>
      </c>
      <c r="AR19" s="38" t="s">
        <v>491</v>
      </c>
      <c r="AS19" s="38" t="s">
        <v>536</v>
      </c>
      <c r="AT19" s="38" t="s">
        <v>521</v>
      </c>
      <c r="AU19" s="38" t="s">
        <v>485</v>
      </c>
      <c r="AV19" s="38" t="s">
        <v>535</v>
      </c>
      <c r="AW19" s="38" t="s">
        <v>499</v>
      </c>
      <c r="AX19" s="38" t="s">
        <v>499</v>
      </c>
      <c r="AY19" s="38" t="s">
        <v>484</v>
      </c>
      <c r="AZ19" s="38" t="s">
        <v>534</v>
      </c>
      <c r="BA19" s="38" t="s">
        <v>533</v>
      </c>
      <c r="BB19" s="38" t="s">
        <v>495</v>
      </c>
      <c r="BC19" s="38" t="s">
        <v>532</v>
      </c>
      <c r="BD19" s="38" t="s">
        <v>531</v>
      </c>
      <c r="BE19" s="38" t="s">
        <v>490</v>
      </c>
      <c r="BF19" s="38" t="s">
        <v>491</v>
      </c>
      <c r="BG19" s="38" t="s">
        <v>530</v>
      </c>
      <c r="BH19" s="38" t="s">
        <v>503</v>
      </c>
      <c r="BI19" s="38" t="s">
        <v>483</v>
      </c>
      <c r="BJ19" s="38" t="s">
        <v>529</v>
      </c>
      <c r="BK19" s="38" t="s">
        <v>528</v>
      </c>
      <c r="BL19" s="38" t="s">
        <v>527</v>
      </c>
      <c r="BM19" s="38" t="s">
        <v>526</v>
      </c>
      <c r="BN19" s="38" t="s">
        <v>491</v>
      </c>
      <c r="BO19" s="38" t="s">
        <v>525</v>
      </c>
      <c r="BP19" s="38" t="s">
        <v>500</v>
      </c>
      <c r="BQ19" s="38" t="s">
        <v>524</v>
      </c>
      <c r="BR19" s="38" t="s">
        <v>523</v>
      </c>
      <c r="BS19" s="38" t="s">
        <v>517</v>
      </c>
      <c r="BT19" s="38" t="s">
        <v>493</v>
      </c>
      <c r="BU19" s="38" t="s">
        <v>522</v>
      </c>
      <c r="BV19" s="38" t="s">
        <v>521</v>
      </c>
      <c r="BW19" s="38" t="s">
        <v>520</v>
      </c>
      <c r="BX19" s="38" t="s">
        <v>519</v>
      </c>
      <c r="BY19" s="38" t="s">
        <v>518</v>
      </c>
      <c r="BZ19" s="38" t="s">
        <v>517</v>
      </c>
      <c r="CA19" s="38" t="s">
        <v>516</v>
      </c>
      <c r="CB19" s="38" t="s">
        <v>502</v>
      </c>
      <c r="CC19" s="38" t="s">
        <v>515</v>
      </c>
      <c r="CD19" s="38" t="s">
        <v>514</v>
      </c>
      <c r="CE19" s="38" t="s">
        <v>513</v>
      </c>
      <c r="CF19" s="38" t="s">
        <v>489</v>
      </c>
      <c r="CG19" s="38" t="s">
        <v>512</v>
      </c>
      <c r="CH19" s="38" t="s">
        <v>499</v>
      </c>
      <c r="CI19" s="38" t="s">
        <v>511</v>
      </c>
      <c r="CJ19" s="38" t="s">
        <v>510</v>
      </c>
      <c r="CK19" s="38" t="s">
        <v>509</v>
      </c>
      <c r="CL19" s="38" t="s">
        <v>508</v>
      </c>
      <c r="CM19" s="38" t="s">
        <v>507</v>
      </c>
      <c r="CN19" s="38" t="s">
        <v>506</v>
      </c>
      <c r="CO19" s="38" t="s">
        <v>505</v>
      </c>
      <c r="CP19" s="38" t="s">
        <v>494</v>
      </c>
      <c r="CQ19" s="38" t="s">
        <v>504</v>
      </c>
      <c r="CR19" s="38" t="s">
        <v>503</v>
      </c>
      <c r="CS19" s="38" t="s">
        <v>480</v>
      </c>
      <c r="CT19" s="38" t="s">
        <v>502</v>
      </c>
      <c r="CU19" s="38" t="s">
        <v>501</v>
      </c>
      <c r="CV19" s="38" t="s">
        <v>500</v>
      </c>
      <c r="CW19" s="38" t="s">
        <v>499</v>
      </c>
      <c r="CX19" s="38" t="s">
        <v>498</v>
      </c>
      <c r="CY19" s="38" t="s">
        <v>497</v>
      </c>
      <c r="CZ19" s="38" t="s">
        <v>496</v>
      </c>
      <c r="DA19" s="38" t="s">
        <v>495</v>
      </c>
      <c r="DB19" s="38" t="s">
        <v>494</v>
      </c>
      <c r="DC19" s="38" t="s">
        <v>493</v>
      </c>
      <c r="DD19" s="38" t="s">
        <v>492</v>
      </c>
      <c r="DE19" s="38" t="s">
        <v>491</v>
      </c>
      <c r="DF19" s="38" t="s">
        <v>490</v>
      </c>
      <c r="DG19" s="38" t="s">
        <v>489</v>
      </c>
      <c r="DH19" s="38" t="s">
        <v>486</v>
      </c>
      <c r="DI19" s="38" t="s">
        <v>486</v>
      </c>
      <c r="DJ19" s="38" t="s">
        <v>488</v>
      </c>
      <c r="DK19" s="37">
        <v>0</v>
      </c>
      <c r="DL19" s="38" t="s">
        <v>487</v>
      </c>
      <c r="DM19" s="38" t="s">
        <v>486</v>
      </c>
      <c r="DN19" s="38" t="s">
        <v>485</v>
      </c>
      <c r="DO19" s="38" t="s">
        <v>484</v>
      </c>
      <c r="DP19" s="38" t="s">
        <v>483</v>
      </c>
      <c r="DQ19" s="38" t="s">
        <v>482</v>
      </c>
      <c r="DR19" s="38" t="s">
        <v>481</v>
      </c>
      <c r="DS19" s="38" t="s">
        <v>480</v>
      </c>
    </row>
    <row r="21" spans="1:123">
      <c r="B21" s="37">
        <f>ABS(MIN((B3-B2),0))</f>
        <v>4.3768169377816999E-4</v>
      </c>
      <c r="C21" s="37">
        <f>ABS(MIN((C3-C2),0))</f>
        <v>0</v>
      </c>
      <c r="D21" s="37">
        <f>ABS(MIN((D3-D2),0))</f>
        <v>1.5729482332289997E-4</v>
      </c>
      <c r="E21" s="37">
        <f>ABS(MIN((E3-E2),0))</f>
        <v>0</v>
      </c>
      <c r="F21" s="37">
        <f>ABS(MIN((F3-F2),0))</f>
        <v>1.0532271169279035E-6</v>
      </c>
      <c r="G21" s="37">
        <f>ABS(MIN((G3-G2),0))</f>
        <v>8.4642674695045977E-4</v>
      </c>
      <c r="H21" s="37">
        <f>ABS(MIN((H3-H2),0))</f>
        <v>3.8507454815105016E-4</v>
      </c>
      <c r="I21" s="37">
        <f>ABS(MIN((I3-I2),0))</f>
        <v>6.2654622549923947E-4</v>
      </c>
      <c r="J21" s="37">
        <f>ABS(MIN((J3-J2),0))</f>
        <v>2.5434660442094398E-4</v>
      </c>
      <c r="K21" s="37">
        <f>ABS(MIN((K3-K2),0))</f>
        <v>1.8017540800643992E-4</v>
      </c>
      <c r="L21" s="37">
        <f>ABS(MIN((L3-L2),0))</f>
        <v>7.899203376959818E-7</v>
      </c>
      <c r="M21" s="37">
        <f>ABS(MIN((M3-M2),0))</f>
        <v>0</v>
      </c>
      <c r="N21" s="37">
        <f>ABS(MIN((N3-N2),0))</f>
        <v>5.6367011548210007E-4</v>
      </c>
      <c r="O21" s="37">
        <f>ABS(MIN((O3-O2),0))</f>
        <v>7.9437331999150087E-5</v>
      </c>
      <c r="P21" s="37">
        <f>ABS(MIN((P3-P2),0))</f>
        <v>0</v>
      </c>
      <c r="Q21" s="37">
        <f>ABS(MIN((Q3-Q2),0))</f>
        <v>4.4637081749282145E-4</v>
      </c>
      <c r="R21" s="37">
        <f>ABS(MIN((R3-R2),0))</f>
        <v>1.3165338961590662E-6</v>
      </c>
      <c r="S21" s="37">
        <f>ABS(MIN((S3-S2),0))</f>
        <v>2.0700559437847018E-4</v>
      </c>
      <c r="T21" s="37">
        <f>ABS(MIN((T3-T2),0))</f>
        <v>6.1127443230380785E-4</v>
      </c>
      <c r="U21" s="37">
        <f>ABS(MIN((U3-U2),0))</f>
        <v>1.5413514197211095E-4</v>
      </c>
      <c r="V21" s="37">
        <f>ABS(MIN((V3-V2),0))</f>
        <v>2.2999150177369998E-3</v>
      </c>
      <c r="W21" s="37">
        <f>ABS(MIN((W3-W2),0))</f>
        <v>1.2783156915855196E-4</v>
      </c>
      <c r="X21" s="37">
        <f>ABS(MIN((X3-X2),0))</f>
        <v>8.4379367915814012E-4</v>
      </c>
      <c r="Y21" s="37">
        <f>ABS(MIN((Y3-Y2),0))</f>
        <v>6.3836792545507014E-4</v>
      </c>
      <c r="Z21" s="37">
        <f>ABS(MIN((Z3-Z2),0))</f>
        <v>1.5105716316606097E-3</v>
      </c>
      <c r="AA21" s="37">
        <f>ABS(MIN((AA3-AA2),0))</f>
        <v>0</v>
      </c>
      <c r="AB21" s="37">
        <f>ABS(MIN((AB3-AB2),0))</f>
        <v>0</v>
      </c>
      <c r="AC21" s="37">
        <f>ABS(MIN((AC3-AC2),0))</f>
        <v>0</v>
      </c>
      <c r="AD21" s="37">
        <f>ABS(MIN((AD3-AD2),0))</f>
        <v>0</v>
      </c>
      <c r="AE21" s="37">
        <f>ABS(MIN((AE3-AE2),0))</f>
        <v>0</v>
      </c>
      <c r="AF21" s="37">
        <f>ABS(MIN((AF3-AF2),0))</f>
        <v>0</v>
      </c>
      <c r="AG21" s="37">
        <f>ABS(MIN((AG3-AG2),0))</f>
        <v>0</v>
      </c>
      <c r="AH21" s="37">
        <f>ABS(MIN((AH3-AH2),0))</f>
        <v>0</v>
      </c>
      <c r="AI21" s="37">
        <f>ABS(MIN((AI3-AI2),0))</f>
        <v>0</v>
      </c>
      <c r="AJ21" s="37">
        <f>ABS(MIN((AJ3-AJ2),0))</f>
        <v>9.2955037385884093E-4</v>
      </c>
      <c r="AK21" s="37">
        <f>ABS(MIN((AK3-AK2),0))</f>
        <v>1.0523791142119905E-3</v>
      </c>
      <c r="AL21" s="37">
        <f>ABS(MIN((AL3-AL2),0))</f>
        <v>0</v>
      </c>
      <c r="AM21" s="37">
        <f>ABS(MIN((AM3-AM2),0))</f>
        <v>0</v>
      </c>
      <c r="AN21" s="37">
        <f>ABS(MIN((AN3-AN2),0))</f>
        <v>0</v>
      </c>
      <c r="AO21" s="37">
        <f>ABS(MIN((AO3-AO2),0))</f>
        <v>0</v>
      </c>
      <c r="AP21" s="37">
        <f>ABS(MIN((AP3-AP2),0))</f>
        <v>1.1494308953100404E-3</v>
      </c>
      <c r="AQ21" s="37">
        <f>ABS(MIN((AQ3-AQ2),0))</f>
        <v>0</v>
      </c>
      <c r="AR21" s="37">
        <f>ABS(MIN((AR3-AR2),0))</f>
        <v>2.7356799930489985E-5</v>
      </c>
      <c r="AS21" s="37">
        <f>ABS(MIN((AS3-AS2),0))</f>
        <v>0</v>
      </c>
      <c r="AT21" s="37">
        <f>ABS(MIN((AT3-AT2),0))</f>
        <v>0</v>
      </c>
      <c r="AU21" s="37">
        <f>ABS(MIN((AU3-AU2),0))</f>
        <v>7.8384104882220015E-5</v>
      </c>
      <c r="AV21" s="37">
        <f>ABS(MIN((AV3-AV2),0))</f>
        <v>0</v>
      </c>
      <c r="AW21" s="37">
        <f>ABS(MIN((AW3-AW2),0))</f>
        <v>7.1280242864879995E-4</v>
      </c>
      <c r="AX21" s="37">
        <f>ABS(MIN((AX3-AX2),0))</f>
        <v>0</v>
      </c>
      <c r="AY21" s="37">
        <f>ABS(MIN((AY3-AY2),0))</f>
        <v>0</v>
      </c>
      <c r="AZ21" s="37">
        <f>ABS(MIN((AZ3-AZ2),0))</f>
        <v>0</v>
      </c>
      <c r="BA21" s="37">
        <f>ABS(MIN((BA3-BA2),0))</f>
        <v>0</v>
      </c>
      <c r="BB21" s="37">
        <f>ABS(MIN((BB3-BB2),0))</f>
        <v>1.78332260551816E-4</v>
      </c>
      <c r="BC21" s="37">
        <f>ABS(MIN((BC3-BC2),0))</f>
        <v>0</v>
      </c>
      <c r="BD21" s="37">
        <f>ABS(MIN((BD3-BD2),0))</f>
        <v>1.2756826237932003E-4</v>
      </c>
      <c r="BE21" s="37">
        <f>ABS(MIN((BE3-BE2),0))</f>
        <v>0</v>
      </c>
      <c r="BF21" s="37">
        <f>ABS(MIN((BF3-BF2),0))</f>
        <v>0</v>
      </c>
      <c r="BG21" s="37">
        <f>ABS(MIN((BG3-BG2),0))</f>
        <v>0</v>
      </c>
      <c r="BH21" s="37">
        <f>ABS(MIN((BH3-BH2),0))</f>
        <v>1.0179130312422399E-4</v>
      </c>
      <c r="BI21" s="37">
        <f>ABS(MIN((BI3-BI2),0))</f>
        <v>5.3133759185590174E-5</v>
      </c>
      <c r="BJ21" s="37">
        <f>ABS(MIN((BJ3-BJ2),0))</f>
        <v>0</v>
      </c>
      <c r="BK21" s="37">
        <f>ABS(MIN((BK3-BK2),0))</f>
        <v>0</v>
      </c>
      <c r="BL21" s="37">
        <f>ABS(MIN((BL3-BL2),0))</f>
        <v>3.3115086862776802E-4</v>
      </c>
      <c r="BM21" s="37">
        <f>ABS(MIN((BM3-BM2),0))</f>
        <v>1.2888479627548013E-4</v>
      </c>
      <c r="BN21" s="37">
        <f>ABS(MIN((BN3-BN2),0))</f>
        <v>4.8502270382064987E-4</v>
      </c>
      <c r="BO21" s="37">
        <f>ABS(MIN((BO3-BO2),0))</f>
        <v>0</v>
      </c>
      <c r="BP21" s="37">
        <f>ABS(MIN((BP3-BP2),0))</f>
        <v>0</v>
      </c>
      <c r="BQ21" s="37">
        <f>ABS(MIN((BQ3-BQ2),0))</f>
        <v>2.071608679350391E-3</v>
      </c>
      <c r="BR21" s="37">
        <f>ABS(MIN((BR3-BR2),0))</f>
        <v>0</v>
      </c>
      <c r="BS21" s="37">
        <f>ABS(MIN((BS3-BS2),0))</f>
        <v>0</v>
      </c>
      <c r="BT21" s="37">
        <f>ABS(MIN((BT3-BT2),0))</f>
        <v>4.0716521249689597E-4</v>
      </c>
      <c r="BU21" s="37">
        <f>ABS(MIN((BU3-BU2),0))</f>
        <v>4.4031476157048964E-4</v>
      </c>
      <c r="BV21" s="37">
        <f>ABS(MIN((BV3-BV2),0))</f>
        <v>0</v>
      </c>
      <c r="BW21" s="37">
        <f>ABS(MIN((BW3-BW2),0))</f>
        <v>6.36788084779672E-4</v>
      </c>
      <c r="BX21" s="37">
        <f>ABS(MIN((BX3-BX2),0))</f>
        <v>1.05343234132892E-3</v>
      </c>
      <c r="BY21" s="37">
        <f>ABS(MIN((BY3-BY2),0))</f>
        <v>0</v>
      </c>
      <c r="BZ21" s="37">
        <f>ABS(MIN((BZ3-BZ2),0))</f>
        <v>0</v>
      </c>
      <c r="CA21" s="37">
        <f>ABS(MIN((CA3-CA2),0))</f>
        <v>0</v>
      </c>
      <c r="CB21" s="37">
        <f>ABS(MIN((CB3-CB2),0))</f>
        <v>0</v>
      </c>
      <c r="CC21" s="37">
        <f>ABS(MIN((CC3-CC2),0))</f>
        <v>3.3167748218623208E-4</v>
      </c>
      <c r="CD21" s="37">
        <f>ABS(MIN((CD3-CD2),0))</f>
        <v>5.4315929181164048E-4</v>
      </c>
      <c r="CE21" s="37">
        <f>ABS(MIN((CE3-CE2),0))</f>
        <v>0</v>
      </c>
      <c r="CF21" s="37">
        <f>ABS(MIN((CF3-CF2),0))</f>
        <v>1.0532271169279035E-6</v>
      </c>
      <c r="CG21" s="37">
        <f>ABS(MIN((CG3-CG2),0))</f>
        <v>1.1767876952405295E-3</v>
      </c>
      <c r="CH21" s="37">
        <f>ABS(MIN((CH3-CH2),0))</f>
        <v>0</v>
      </c>
      <c r="CI21" s="37">
        <f>ABS(MIN((CI3-CI2),0))</f>
        <v>1.857048503703107E-4</v>
      </c>
      <c r="CJ21" s="37">
        <f>ABS(MIN((CJ3-CJ2),0))</f>
        <v>0</v>
      </c>
      <c r="CK21" s="37">
        <f>ABS(MIN((CK3-CK2),0))</f>
        <v>0</v>
      </c>
      <c r="CL21" s="37">
        <f>ABS(MIN((CL3-CL2),0))</f>
        <v>0</v>
      </c>
      <c r="CM21" s="37">
        <f>ABS(MIN((CM3-CM2),0))</f>
        <v>5.4976906640210113E-4</v>
      </c>
      <c r="CN21" s="37">
        <f>ABS(MIN((CN3-CN2),0))</f>
        <v>2.0779551471616009E-4</v>
      </c>
      <c r="CO21" s="37">
        <f>ABS(MIN((CO3-CO2),0))</f>
        <v>0</v>
      </c>
      <c r="CP21" s="37">
        <f>ABS(MIN((CP3-CP2),0))</f>
        <v>0</v>
      </c>
      <c r="CQ21" s="37">
        <f>ABS(MIN((CQ3-CQ2),0))</f>
        <v>2.3120271295817008E-3</v>
      </c>
      <c r="CR21" s="37">
        <f>ABS(MIN((CR3-CR2),0))</f>
        <v>0</v>
      </c>
      <c r="CS21" s="37">
        <f>ABS(MIN((CS3-CS2),0))</f>
        <v>0</v>
      </c>
      <c r="CT21" s="37">
        <f>ABS(MIN((CT3-CT2),0))</f>
        <v>0</v>
      </c>
      <c r="CU21" s="37">
        <f>ABS(MIN((CU3-CU2),0))</f>
        <v>1.1026164988260203E-3</v>
      </c>
      <c r="CV21" s="37">
        <f>ABS(MIN((CV3-CV2),0))</f>
        <v>2.5513652475864007E-4</v>
      </c>
      <c r="CW21" s="37">
        <f>ABS(MIN((CW3-CW2),0))</f>
        <v>1.7859556733104795E-4</v>
      </c>
      <c r="CX21" s="37">
        <f>ABS(MIN((CX3-CX2),0))</f>
        <v>2.1358826385925976E-4</v>
      </c>
      <c r="CY21" s="37">
        <f>ABS(MIN((CY3-CY2),0))</f>
        <v>0</v>
      </c>
      <c r="CZ21" s="37">
        <f>ABS(MIN((CZ3-CZ2),0))</f>
        <v>0</v>
      </c>
      <c r="DA21" s="37">
        <f>ABS(MIN((DA3-DA2),0))</f>
        <v>0</v>
      </c>
      <c r="DB21" s="37">
        <f>ABS(MIN((DB3-DB2),0))</f>
        <v>0</v>
      </c>
      <c r="DC21" s="37">
        <f>ABS(MIN((DC3-DC2),0))</f>
        <v>0</v>
      </c>
      <c r="DD21" s="37">
        <f>ABS(MIN((DD3-DD2),0))</f>
        <v>0</v>
      </c>
      <c r="DE21" s="37">
        <f>ABS(MIN((DE3-DE2),0))</f>
        <v>0</v>
      </c>
      <c r="DF21" s="37">
        <f>ABS(MIN((DF3-DF2),0))</f>
        <v>0</v>
      </c>
      <c r="DG21" s="37">
        <f>ABS(MIN((DG3-DG2),0))</f>
        <v>0</v>
      </c>
      <c r="DH21" s="37">
        <f>ABS(MIN((DH3-DH2),0))</f>
        <v>1.5334522163441594E-4</v>
      </c>
      <c r="DI21" s="37">
        <f>ABS(MIN((DI3-DI2),0))</f>
        <v>0</v>
      </c>
      <c r="DJ21" s="37">
        <f>ABS(MIN((DJ3-DJ2),0))</f>
        <v>0</v>
      </c>
      <c r="DK21" s="37">
        <f>ABS(MIN((DK3-DK2),0))</f>
        <v>0</v>
      </c>
      <c r="DL21" s="37">
        <f>ABS(MIN((DL3-DL2),0))</f>
        <v>0</v>
      </c>
      <c r="DM21" s="37">
        <f>ABS(MIN((DM3-DM2),0))</f>
        <v>0</v>
      </c>
      <c r="DN21" s="37">
        <f>ABS(MIN((DN3-DN2),0))</f>
        <v>5.2870452406359987E-5</v>
      </c>
      <c r="DO21" s="37">
        <f>ABS(MIN((DO3-DO2),0))</f>
        <v>0</v>
      </c>
      <c r="DP21" s="37">
        <f>ABS(MIN((DP3-DP2),0))</f>
        <v>2.0647898082000004E-4</v>
      </c>
      <c r="DQ21" s="37">
        <f>ABS(MIN((DQ3-DQ2),0))</f>
        <v>0</v>
      </c>
      <c r="DR21" s="37">
        <f>ABS(MIN((DR3-DR2),0))</f>
        <v>0</v>
      </c>
      <c r="DS21" s="37">
        <f>ABS(MIN((DS3-DS2),0))</f>
        <v>1.3336101152242041E-4</v>
      </c>
    </row>
    <row r="22" spans="1:123">
      <c r="B22" s="37">
        <f>ABS(MIN((B4-B3),0))</f>
        <v>1.0433685635016007E-4</v>
      </c>
      <c r="C22" s="37">
        <f>ABS(MIN((C4-C3),0))</f>
        <v>9.1199398191190969E-4</v>
      </c>
      <c r="D22" s="37">
        <f>ABS(MIN((D4-D3),0))</f>
        <v>1.2682079073703979E-4</v>
      </c>
      <c r="E22" s="37">
        <f>ABS(MIN((E4-E3),0))</f>
        <v>0</v>
      </c>
      <c r="F22" s="37">
        <f>ABS(MIN((F4-F3),0))</f>
        <v>0</v>
      </c>
      <c r="G22" s="37">
        <f>ABS(MIN((G4-G3),0))</f>
        <v>1.1782852241683898E-3</v>
      </c>
      <c r="H22" s="37">
        <f>ABS(MIN((H4-H3),0))</f>
        <v>0</v>
      </c>
      <c r="I22" s="37">
        <f>ABS(MIN((I4-I3),0))</f>
        <v>0</v>
      </c>
      <c r="J22" s="37">
        <f>ABS(MIN((J4-J3),0))</f>
        <v>5.0763998172496002E-5</v>
      </c>
      <c r="K22" s="37">
        <f>ABS(MIN((K4-K3),0))</f>
        <v>6.9031378965240045E-5</v>
      </c>
      <c r="L22" s="37">
        <f>ABS(MIN((L4-L3),0))</f>
        <v>0</v>
      </c>
      <c r="M22" s="37">
        <f>ABS(MIN((M4-M3),0))</f>
        <v>6.6906566663881906E-4</v>
      </c>
      <c r="N22" s="37">
        <f>ABS(MIN((N4-N3),0))</f>
        <v>7.7305223138493008E-4</v>
      </c>
      <c r="O22" s="37">
        <f>ABS(MIN((O4-O3),0))</f>
        <v>1.9883943909584987E-4</v>
      </c>
      <c r="P22" s="37">
        <f>ABS(MIN((P4-P3),0))</f>
        <v>4.7760193274633007E-4</v>
      </c>
      <c r="Q22" s="37">
        <f>ABS(MIN((Q4-Q3),0))</f>
        <v>0</v>
      </c>
      <c r="R22" s="37">
        <f>ABS(MIN((R4-R3),0))</f>
        <v>0</v>
      </c>
      <c r="S22" s="37">
        <f>ABS(MIN((S4-S3),0))</f>
        <v>0</v>
      </c>
      <c r="T22" s="37">
        <f>ABS(MIN((T4-T3),0))</f>
        <v>0</v>
      </c>
      <c r="U22" s="37">
        <f>ABS(MIN((U4-U3),0))</f>
        <v>2.2799849547797894E-4</v>
      </c>
      <c r="V22" s="37">
        <f>ABS(MIN((V4-V3),0))</f>
        <v>2.2904937029013996E-4</v>
      </c>
      <c r="W22" s="37">
        <f>ABS(MIN((W4-W3),0))</f>
        <v>1.0609484154317802E-4</v>
      </c>
      <c r="X22" s="37">
        <f>ABS(MIN((X4-X3),0))</f>
        <v>2.1253997469040985E-4</v>
      </c>
      <c r="Y22" s="37">
        <f>ABS(MIN((Y4-Y3),0))</f>
        <v>0</v>
      </c>
      <c r="Z22" s="37">
        <f>ABS(MIN((Z4-Z3),0))</f>
        <v>0</v>
      </c>
      <c r="AA22" s="37">
        <f>ABS(MIN((AA4-AA3),0))</f>
        <v>2.2799849547797894E-4</v>
      </c>
      <c r="AB22" s="37">
        <f>ABS(MIN((AB4-AB3),0))</f>
        <v>0</v>
      </c>
      <c r="AC22" s="37">
        <f>ABS(MIN((AC4-AC3),0))</f>
        <v>1.1250626575947799E-3</v>
      </c>
      <c r="AD22" s="37">
        <f>ABS(MIN((AD4-AD3),0))</f>
        <v>2.0445715910619947E-4</v>
      </c>
      <c r="AE22" s="37">
        <f>ABS(MIN((AE4-AE3),0))</f>
        <v>1.7424722791191003E-4</v>
      </c>
      <c r="AF22" s="37">
        <f>ABS(MIN((AF4-AF3),0))</f>
        <v>4.1190811477871301E-4</v>
      </c>
      <c r="AG22" s="37">
        <f>ABS(MIN((AG4-AG3),0))</f>
        <v>5.8668404368307687E-4</v>
      </c>
      <c r="AH22" s="37">
        <f>ABS(MIN((AH4-AH3),0))</f>
        <v>4.8655721375430081E-5</v>
      </c>
      <c r="AI22" s="37">
        <f>ABS(MIN((AI4-AI3),0))</f>
        <v>8.1994996756734953E-4</v>
      </c>
      <c r="AJ22" s="37">
        <f>ABS(MIN((AJ4-AJ3),0))</f>
        <v>0</v>
      </c>
      <c r="AK22" s="37">
        <f>ABS(MIN((AK4-AK3),0))</f>
        <v>0</v>
      </c>
      <c r="AL22" s="37">
        <f>ABS(MIN((AL4-AL3),0))</f>
        <v>9.1515313352115001E-5</v>
      </c>
      <c r="AM22" s="37">
        <f>ABS(MIN((AM4-AM3),0))</f>
        <v>1.9237579749757996E-3</v>
      </c>
      <c r="AN22" s="37">
        <f>ABS(MIN((AN4-AN3),0))</f>
        <v>1.04513960304016E-3</v>
      </c>
      <c r="AO22" s="37">
        <f>ABS(MIN((AO4-AO3),0))</f>
        <v>0</v>
      </c>
      <c r="AP22" s="37">
        <f>ABS(MIN((AP4-AP3),0))</f>
        <v>0</v>
      </c>
      <c r="AQ22" s="37">
        <f>ABS(MIN((AQ4-AQ3),0))</f>
        <v>7.4688044439637203E-4</v>
      </c>
      <c r="AR22" s="37">
        <f>ABS(MIN((AR4-AR3),0))</f>
        <v>0</v>
      </c>
      <c r="AS22" s="37">
        <f>ABS(MIN((AS4-AS3),0))</f>
        <v>8.0273346158669934E-5</v>
      </c>
      <c r="AT22" s="37">
        <f>ABS(MIN((AT4-AT3),0))</f>
        <v>2.5048242986485395E-4</v>
      </c>
      <c r="AU22" s="37">
        <f>ABS(MIN((AU4-AU3),0))</f>
        <v>0</v>
      </c>
      <c r="AV22" s="37">
        <f>ABS(MIN((AV4-AV3),0))</f>
        <v>0</v>
      </c>
      <c r="AW22" s="37">
        <f>ABS(MIN((AW4-AW3),0))</f>
        <v>0</v>
      </c>
      <c r="AX22" s="37">
        <f>ABS(MIN((AX4-AX3),0))</f>
        <v>5.9897688568867017E-5</v>
      </c>
      <c r="AY22" s="37">
        <f>ABS(MIN((AY4-AY3),0))</f>
        <v>0</v>
      </c>
      <c r="AZ22" s="37">
        <f>ABS(MIN((AZ4-AZ3),0))</f>
        <v>7.9553616577179983E-4</v>
      </c>
      <c r="BA22" s="37">
        <f>ABS(MIN((BA4-BA3),0))</f>
        <v>1.01527996344992E-4</v>
      </c>
      <c r="BB22" s="37">
        <f>ABS(MIN((BB4-BB3),0))</f>
        <v>0</v>
      </c>
      <c r="BC22" s="37">
        <f>ABS(MIN((BC4-BC3),0))</f>
        <v>1.2933353467194601E-3</v>
      </c>
      <c r="BD22" s="37">
        <f>ABS(MIN((BD4-BD3),0))</f>
        <v>1.6810080690911127E-4</v>
      </c>
      <c r="BE22" s="37">
        <f>ABS(MIN((BE4-BE3),0))</f>
        <v>0</v>
      </c>
      <c r="BF22" s="37">
        <f>ABS(MIN((BF4-BF3),0))</f>
        <v>2.4503659207015995E-4</v>
      </c>
      <c r="BG22" s="37">
        <f>ABS(MIN((BG4-BG3),0))</f>
        <v>0</v>
      </c>
      <c r="BH22" s="37">
        <f>ABS(MIN((BH4-BH3),0))</f>
        <v>0</v>
      </c>
      <c r="BI22" s="37">
        <f>ABS(MIN((BI4-BI3),0))</f>
        <v>0</v>
      </c>
      <c r="BJ22" s="37">
        <f>ABS(MIN((BJ4-BJ3),0))</f>
        <v>3.0528457224308003E-4</v>
      </c>
      <c r="BK22" s="37">
        <f>ABS(MIN((BK4-BK3),0))</f>
        <v>4.3140477977201977E-4</v>
      </c>
      <c r="BL22" s="37">
        <f>ABS(MIN((BL4-BL3),0))</f>
        <v>0</v>
      </c>
      <c r="BM22" s="37">
        <f>ABS(MIN((BM4-BM3),0))</f>
        <v>7.2368939962863901E-5</v>
      </c>
      <c r="BN22" s="37">
        <f>ABS(MIN((BN4-BN3),0))</f>
        <v>0</v>
      </c>
      <c r="BO22" s="37">
        <f>ABS(MIN((BO4-BO3),0))</f>
        <v>1.1770559399678399E-3</v>
      </c>
      <c r="BP22" s="37">
        <f>ABS(MIN((BP4-BP3),0))</f>
        <v>1.036297459692994E-5</v>
      </c>
      <c r="BQ22" s="37">
        <f>ABS(MIN((BQ4-BQ3),0))</f>
        <v>0</v>
      </c>
      <c r="BR22" s="37">
        <f>ABS(MIN((BR4-BR3),0))</f>
        <v>2.0217700009346994E-4</v>
      </c>
      <c r="BS22" s="37">
        <f>ABS(MIN((BS4-BS3),0))</f>
        <v>1.18408135356714E-3</v>
      </c>
      <c r="BT22" s="37">
        <f>ABS(MIN((BT4-BT3),0))</f>
        <v>0</v>
      </c>
      <c r="BU22" s="37">
        <f>ABS(MIN((BU4-BU3),0))</f>
        <v>8.1292455396803987E-4</v>
      </c>
      <c r="BV22" s="37">
        <f>ABS(MIN((BV4-BV3),0))</f>
        <v>4.8655721375430081E-5</v>
      </c>
      <c r="BW22" s="37">
        <f>ABS(MIN((BW4-BW3),0))</f>
        <v>0</v>
      </c>
      <c r="BX22" s="37">
        <f>ABS(MIN((BX4-BX3),0))</f>
        <v>0</v>
      </c>
      <c r="BY22" s="37">
        <f>ABS(MIN((BY4-BY3),0))</f>
        <v>6.4095748506885937E-4</v>
      </c>
      <c r="BZ22" s="37">
        <f>ABS(MIN((BZ4-BZ3),0))</f>
        <v>1.27190881431757E-3</v>
      </c>
      <c r="CA22" s="37">
        <f>ABS(MIN((CA4-CA3),0))</f>
        <v>9.0163100731497996E-4</v>
      </c>
      <c r="CB22" s="37">
        <f>ABS(MIN((CB4-CB3),0))</f>
        <v>3.0493428063903E-4</v>
      </c>
      <c r="CC22" s="37">
        <f>ABS(MIN((CC4-CC3),0))</f>
        <v>3.5991483240565799E-4</v>
      </c>
      <c r="CD22" s="37">
        <f>ABS(MIN((CD4-CD3),0))</f>
        <v>4.4422632277007004E-4</v>
      </c>
      <c r="CE22" s="37">
        <f>ABS(MIN((CE4-CE3),0))</f>
        <v>1.3809909252543301E-3</v>
      </c>
      <c r="CF22" s="37">
        <f>ABS(MIN((CF4-CF3),0))</f>
        <v>0</v>
      </c>
      <c r="CG22" s="37">
        <f>ABS(MIN((CG4-CG3),0))</f>
        <v>0</v>
      </c>
      <c r="CH22" s="37">
        <f>ABS(MIN((CH4-CH3),0))</f>
        <v>0</v>
      </c>
      <c r="CI22" s="37">
        <f>ABS(MIN((CI4-CI3),0))</f>
        <v>0</v>
      </c>
      <c r="CJ22" s="37">
        <f>ABS(MIN((CJ4-CJ3),0))</f>
        <v>0</v>
      </c>
      <c r="CK22" s="37">
        <f>ABS(MIN((CK4-CK3),0))</f>
        <v>4.205131041826295E-4</v>
      </c>
      <c r="CL22" s="37">
        <f>ABS(MIN((CL4-CL3),0))</f>
        <v>2.1120625572590796E-3</v>
      </c>
      <c r="CM22" s="37">
        <f>ABS(MIN((CM4-CM3),0))</f>
        <v>0</v>
      </c>
      <c r="CN22" s="37">
        <f>ABS(MIN((CN4-CN3),0))</f>
        <v>0</v>
      </c>
      <c r="CO22" s="37">
        <f>ABS(MIN((CO4-CO3),0))</f>
        <v>0</v>
      </c>
      <c r="CP22" s="37">
        <f>ABS(MIN((CP4-CP3),0))</f>
        <v>1.6142568491385998E-4</v>
      </c>
      <c r="CQ22" s="37">
        <f>ABS(MIN((CQ4-CQ3),0))</f>
        <v>0</v>
      </c>
      <c r="CR22" s="37">
        <f>ABS(MIN((CR4-CR3),0))</f>
        <v>3.1248839523078775E-4</v>
      </c>
      <c r="CS22" s="37">
        <f>ABS(MIN((CS4-CS3),0))</f>
        <v>0</v>
      </c>
      <c r="CT22" s="37">
        <f>ABS(MIN((CT4-CT3),0))</f>
        <v>5.9493874148293987E-4</v>
      </c>
      <c r="CU22" s="37">
        <f>ABS(MIN((CU4-CU3),0))</f>
        <v>1.9497317710576948E-4</v>
      </c>
      <c r="CV22" s="37">
        <f>ABS(MIN((CV4-CV3),0))</f>
        <v>0</v>
      </c>
      <c r="CW22" s="37">
        <f>ABS(MIN((CW4-CW3),0))</f>
        <v>0</v>
      </c>
      <c r="CX22" s="37">
        <f>ABS(MIN((CX4-CX3),0))</f>
        <v>0</v>
      </c>
      <c r="CY22" s="37">
        <f>ABS(MIN((CY4-CY3),0))</f>
        <v>1.5720913131973E-4</v>
      </c>
      <c r="CZ22" s="37">
        <f>ABS(MIN((CZ4-CZ3),0))</f>
        <v>0</v>
      </c>
      <c r="DA22" s="37">
        <f>ABS(MIN((DA4-DA3),0))</f>
        <v>0</v>
      </c>
      <c r="DB22" s="37">
        <f>ABS(MIN((DB4-DB3),0))</f>
        <v>0</v>
      </c>
      <c r="DC22" s="37">
        <f>ABS(MIN((DC4-DC3),0))</f>
        <v>0</v>
      </c>
      <c r="DD22" s="37">
        <f>ABS(MIN((DD4-DD3),0))</f>
        <v>0</v>
      </c>
      <c r="DE22" s="37">
        <f>ABS(MIN((DE4-DE3),0))</f>
        <v>2.4046974687197994E-4</v>
      </c>
      <c r="DF22" s="37">
        <f>ABS(MIN((DF4-DF3),0))</f>
        <v>1.6265496911441993E-4</v>
      </c>
      <c r="DG22" s="37">
        <f>ABS(MIN((DG4-DG3),0))</f>
        <v>0</v>
      </c>
      <c r="DH22" s="37">
        <f>ABS(MIN((DH4-DH3),0))</f>
        <v>0</v>
      </c>
      <c r="DI22" s="37">
        <f>ABS(MIN((DI4-DI3),0))</f>
        <v>0</v>
      </c>
      <c r="DJ22" s="37">
        <f>ABS(MIN((DJ4-DJ3),0))</f>
        <v>1.5151874211947304E-3</v>
      </c>
      <c r="DK22" s="37">
        <f>ABS(MIN((DK4-DK3),0))</f>
        <v>0</v>
      </c>
      <c r="DL22" s="37">
        <f>ABS(MIN((DL4-DL3),0))</f>
        <v>0</v>
      </c>
      <c r="DM22" s="37">
        <f>ABS(MIN((DM4-DM3),0))</f>
        <v>0</v>
      </c>
      <c r="DN22" s="37">
        <f>ABS(MIN((DN4-DN3),0))</f>
        <v>1.3894175052697982E-4</v>
      </c>
      <c r="DO22" s="37">
        <f>ABS(MIN((DO4-DO3),0))</f>
        <v>3.2039280142659931E-4</v>
      </c>
      <c r="DP22" s="37">
        <f>ABS(MIN((DP4-DP3),0))</f>
        <v>0</v>
      </c>
      <c r="DQ22" s="37">
        <f>ABS(MIN((DQ4-DQ3),0))</f>
        <v>1.48111122801036E-3</v>
      </c>
      <c r="DR22" s="37">
        <f>ABS(MIN((DR4-DR3),0))</f>
        <v>7.7902024299924925E-4</v>
      </c>
      <c r="DS22" s="37">
        <f>ABS(MIN((DS4-DS3),0))</f>
        <v>0</v>
      </c>
    </row>
    <row r="23" spans="1:123">
      <c r="B23" s="37">
        <f>ABS(MIN((B5-B4),0))</f>
        <v>0</v>
      </c>
      <c r="C23" s="37">
        <f>ABS(MIN((C5-C4),0))</f>
        <v>0</v>
      </c>
      <c r="D23" s="37">
        <f>ABS(MIN((D5-D4),0))</f>
        <v>4.9269089050165034E-4</v>
      </c>
      <c r="E23" s="37">
        <f>ABS(MIN((E5-E4),0))</f>
        <v>1.0695456271149007E-4</v>
      </c>
      <c r="F23" s="37">
        <f>ABS(MIN((F5-F4),0))</f>
        <v>0</v>
      </c>
      <c r="G23" s="37">
        <f>ABS(MIN((G5-G4),0))</f>
        <v>2.3251046428791021E-4</v>
      </c>
      <c r="H23" s="37">
        <f>ABS(MIN((H5-H4),0))</f>
        <v>2.4808892879918994E-4</v>
      </c>
      <c r="I23" s="37">
        <f>ABS(MIN((I5-I4),0))</f>
        <v>3.0843352844799402E-5</v>
      </c>
      <c r="J23" s="37">
        <f>ABS(MIN((J5-J4),0))</f>
        <v>0</v>
      </c>
      <c r="K23" s="37">
        <f>ABS(MIN((K5-K4),0))</f>
        <v>4.6843263738988801E-4</v>
      </c>
      <c r="L23" s="37">
        <f>ABS(MIN((L5-L4),0))</f>
        <v>8.7889131103490977E-5</v>
      </c>
      <c r="M23" s="37">
        <f>ABS(MIN((M5-M4),0))</f>
        <v>0</v>
      </c>
      <c r="N23" s="37">
        <f>ABS(MIN((N5-N4),0))</f>
        <v>0</v>
      </c>
      <c r="O23" s="37">
        <f>ABS(MIN((O5-O4),0))</f>
        <v>0</v>
      </c>
      <c r="P23" s="37">
        <f>ABS(MIN((P5-P4),0))</f>
        <v>4.6346559073410024E-5</v>
      </c>
      <c r="Q23" s="37">
        <f>ABS(MIN((Q5-Q4),0))</f>
        <v>9.6205171337773038E-4</v>
      </c>
      <c r="R23" s="37">
        <f>ABS(MIN((R5-R4),0))</f>
        <v>3.2210544979843303E-4</v>
      </c>
      <c r="S23" s="37">
        <f>ABS(MIN((S5-S4),0))</f>
        <v>1.0849735750610018E-5</v>
      </c>
      <c r="T23" s="37">
        <f>ABS(MIN((T5-T4),0))</f>
        <v>0</v>
      </c>
      <c r="U23" s="37">
        <f>ABS(MIN((U5-U4),0))</f>
        <v>0</v>
      </c>
      <c r="V23" s="37">
        <f>ABS(MIN((V5-V4),0))</f>
        <v>9.1136526000406941E-4</v>
      </c>
      <c r="W23" s="37">
        <f>ABS(MIN((W5-W4),0))</f>
        <v>7.3627686538810114E-6</v>
      </c>
      <c r="X23" s="37">
        <f>ABS(MIN((X5-X4),0))</f>
        <v>0</v>
      </c>
      <c r="Y23" s="37">
        <f>ABS(MIN((Y5-Y4),0))</f>
        <v>9.9591794057610032E-5</v>
      </c>
      <c r="Z23" s="37">
        <f>ABS(MIN((Z5-Z4),0))</f>
        <v>0</v>
      </c>
      <c r="AA23" s="37">
        <f>ABS(MIN((AA5-AA4),0))</f>
        <v>1.0044472126113208E-4</v>
      </c>
      <c r="AB23" s="37">
        <f>ABS(MIN((AB5-AB4),0))</f>
        <v>1.2827648849468882E-3</v>
      </c>
      <c r="AC23" s="37">
        <f>ABS(MIN((AC5-AC4),0))</f>
        <v>4.3510576121721001E-4</v>
      </c>
      <c r="AD23" s="37">
        <f>ABS(MIN((AD5-AD4),0))</f>
        <v>0</v>
      </c>
      <c r="AE23" s="37">
        <f>ABS(MIN((AE5-AE4),0))</f>
        <v>4.5719406717885987E-4</v>
      </c>
      <c r="AF23" s="37">
        <f>ABS(MIN((AF5-AF4),0))</f>
        <v>0</v>
      </c>
      <c r="AG23" s="37">
        <f>ABS(MIN((AG5-AG4),0))</f>
        <v>0</v>
      </c>
      <c r="AH23" s="37">
        <f>ABS(MIN((AH5-AH4),0))</f>
        <v>9.5327158040039908E-6</v>
      </c>
      <c r="AI23" s="37">
        <f>ABS(MIN((AI5-AI4),0))</f>
        <v>1.5027824743127013E-4</v>
      </c>
      <c r="AJ23" s="37">
        <f>ABS(MIN((AJ5-AJ4),0))</f>
        <v>0</v>
      </c>
      <c r="AK23" s="37">
        <f>ABS(MIN((AK5-AK4),0))</f>
        <v>0</v>
      </c>
      <c r="AL23" s="37">
        <f>ABS(MIN((AL5-AL4),0))</f>
        <v>6.2514546798886404E-4</v>
      </c>
      <c r="AM23" s="37">
        <f>ABS(MIN((AM5-AM4),0))</f>
        <v>1.8104634199340996E-4</v>
      </c>
      <c r="AN23" s="37">
        <f>ABS(MIN((AN5-AN4),0))</f>
        <v>0</v>
      </c>
      <c r="AO23" s="37">
        <f>ABS(MIN((AO5-AO4),0))</f>
        <v>0</v>
      </c>
      <c r="AP23" s="37">
        <f>ABS(MIN((AP5-AP4),0))</f>
        <v>0</v>
      </c>
      <c r="AQ23" s="37">
        <f>ABS(MIN((AQ5-AQ4),0))</f>
        <v>0</v>
      </c>
      <c r="AR23" s="37">
        <f>ABS(MIN((AR5-AR4),0))</f>
        <v>0</v>
      </c>
      <c r="AS23" s="37">
        <f>ABS(MIN((AS5-AS4),0))</f>
        <v>0</v>
      </c>
      <c r="AT23" s="37">
        <f>ABS(MIN((AT5-AT4),0))</f>
        <v>0</v>
      </c>
      <c r="AU23" s="37">
        <f>ABS(MIN((AU5-AU4),0))</f>
        <v>6.5098414503599392E-6</v>
      </c>
      <c r="AV23" s="37">
        <f>ABS(MIN((AV5-AV4),0))</f>
        <v>0</v>
      </c>
      <c r="AW23" s="37">
        <f>ABS(MIN((AW5-AW4),0))</f>
        <v>0</v>
      </c>
      <c r="AX23" s="37">
        <f>ABS(MIN((AX5-AX4),0))</f>
        <v>8.7889131103490977E-5</v>
      </c>
      <c r="AY23" s="37">
        <f>ABS(MIN((AY5-AY4),0))</f>
        <v>4.4332145707460212E-4</v>
      </c>
      <c r="AZ23" s="37">
        <f>ABS(MIN((AZ5-AZ4),0))</f>
        <v>3.3466103995607609E-4</v>
      </c>
      <c r="BA23" s="37">
        <f>ABS(MIN((BA5-BA4),0))</f>
        <v>0</v>
      </c>
      <c r="BB23" s="37">
        <f>ABS(MIN((BB5-BB4),0))</f>
        <v>0</v>
      </c>
      <c r="BC23" s="37">
        <f>ABS(MIN((BC5-BC4),0))</f>
        <v>0</v>
      </c>
      <c r="BD23" s="37">
        <f>ABS(MIN((BD5-BD4),0))</f>
        <v>1.2555590157641496E-5</v>
      </c>
      <c r="BE23" s="37">
        <f>ABS(MIN((BE5-BE4),0))</f>
        <v>8.6672455533769112E-4</v>
      </c>
      <c r="BF23" s="37">
        <f>ABS(MIN((BF5-BF4),0))</f>
        <v>0</v>
      </c>
      <c r="BG23" s="37">
        <f>ABS(MIN((BG5-BG4),0))</f>
        <v>5.4074330398210012E-4</v>
      </c>
      <c r="BH23" s="37">
        <f>ABS(MIN((BH5-BH4),0))</f>
        <v>1.9654954822202102E-4</v>
      </c>
      <c r="BI23" s="37">
        <f>ABS(MIN((BI5-BI4),0))</f>
        <v>0</v>
      </c>
      <c r="BJ23" s="37">
        <f>ABS(MIN((BJ5-BJ4),0))</f>
        <v>9.3081952607251004E-4</v>
      </c>
      <c r="BK23" s="37">
        <f>ABS(MIN((BK5-BK4),0))</f>
        <v>0</v>
      </c>
      <c r="BL23" s="37">
        <f>ABS(MIN((BL5-BL4),0))</f>
        <v>0</v>
      </c>
      <c r="BM23" s="37">
        <f>ABS(MIN((BM5-BM4),0))</f>
        <v>6.4947897938329039E-5</v>
      </c>
      <c r="BN23" s="37">
        <f>ABS(MIN((BN5-BN4),0))</f>
        <v>1.5283702904182002E-4</v>
      </c>
      <c r="BO23" s="37">
        <f>ABS(MIN((BO5-BO4),0))</f>
        <v>4.1153737569650257E-5</v>
      </c>
      <c r="BP23" s="37">
        <f>ABS(MIN((BP5-BP4),0))</f>
        <v>2.7924585782174301E-4</v>
      </c>
      <c r="BQ23" s="37">
        <f>ABS(MIN((BQ5-BQ4),0))</f>
        <v>6.0010954595624954E-4</v>
      </c>
      <c r="BR23" s="37">
        <f>ABS(MIN((BR5-BR4),0))</f>
        <v>0</v>
      </c>
      <c r="BS23" s="37">
        <f>ABS(MIN((BS5-BS4),0))</f>
        <v>0</v>
      </c>
      <c r="BT23" s="37">
        <f>ABS(MIN((BT5-BT4),0))</f>
        <v>6.7970772291966992E-5</v>
      </c>
      <c r="BU23" s="37">
        <f>ABS(MIN((BU5-BU4),0))</f>
        <v>0</v>
      </c>
      <c r="BV23" s="37">
        <f>ABS(MIN((BV5-BV4),0))</f>
        <v>5.2167787237409398E-4</v>
      </c>
      <c r="BW23" s="37">
        <f>ABS(MIN((BW5-BW4),0))</f>
        <v>3.9836717623046073E-5</v>
      </c>
      <c r="BX23" s="37">
        <f>ABS(MIN((BX5-BX4),0))</f>
        <v>3.9402728193022041E-4</v>
      </c>
      <c r="BY23" s="37">
        <f>ABS(MIN((BY5-BY4),0))</f>
        <v>0</v>
      </c>
      <c r="BZ23" s="37">
        <f>ABS(MIN((BZ5-BZ4),0))</f>
        <v>0</v>
      </c>
      <c r="CA23" s="37">
        <f>ABS(MIN((CA5-CA4),0))</f>
        <v>0</v>
      </c>
      <c r="CB23" s="37">
        <f>ABS(MIN((CB5-CB4),0))</f>
        <v>9.9591794057610032E-5</v>
      </c>
      <c r="CC23" s="37">
        <f>ABS(MIN((CC5-CC4),0))</f>
        <v>0</v>
      </c>
      <c r="CD23" s="37">
        <f>ABS(MIN((CD5-CD4),0))</f>
        <v>7.1566863898555981E-4</v>
      </c>
      <c r="CE23" s="37">
        <f>ABS(MIN((CE5-CE4),0))</f>
        <v>0</v>
      </c>
      <c r="CF23" s="37">
        <f>ABS(MIN((CF5-CF4),0))</f>
        <v>7.9658383589560199E-4</v>
      </c>
      <c r="CG23" s="37">
        <f>ABS(MIN((CG5-CG4),0))</f>
        <v>1.7755937489667001E-4</v>
      </c>
      <c r="CH23" s="37">
        <f>ABS(MIN((CH5-CH4),0))</f>
        <v>3.9836717623046073E-5</v>
      </c>
      <c r="CI23" s="37">
        <f>ABS(MIN((CI5-CI4),0))</f>
        <v>4.5029539126806989E-4</v>
      </c>
      <c r="CJ23" s="37">
        <f>ABS(MIN((CJ5-CJ4),0))</f>
        <v>4.3952091380004832E-4</v>
      </c>
      <c r="CK23" s="37">
        <f>ABS(MIN((CK5-CK4),0))</f>
        <v>1.7577073637871504E-3</v>
      </c>
      <c r="CL23" s="37">
        <f>ABS(MIN((CL5-CL4),0))</f>
        <v>0</v>
      </c>
      <c r="CM23" s="37">
        <f>ABS(MIN((CM5-CM4),0))</f>
        <v>0</v>
      </c>
      <c r="CN23" s="37">
        <f>ABS(MIN((CN5-CN4),0))</f>
        <v>5.6569142468498174E-6</v>
      </c>
      <c r="CO23" s="37">
        <f>ABS(MIN((CO5-CO4),0))</f>
        <v>2.5854983008937078E-4</v>
      </c>
      <c r="CP23" s="37">
        <f>ABS(MIN((CP5-CP4),0))</f>
        <v>0</v>
      </c>
      <c r="CQ23" s="37">
        <f>ABS(MIN((CQ5-CQ4),0))</f>
        <v>6.3134173326140006E-4</v>
      </c>
      <c r="CR23" s="37">
        <f>ABS(MIN((CR5-CR4),0))</f>
        <v>0</v>
      </c>
      <c r="CS23" s="37">
        <f>ABS(MIN((CS5-CS4),0))</f>
        <v>7.0179602888131984E-4</v>
      </c>
      <c r="CT23" s="37">
        <f>ABS(MIN((CT5-CT4),0))</f>
        <v>0</v>
      </c>
      <c r="CU23" s="37">
        <f>ABS(MIN((CU5-CU4),0))</f>
        <v>2.8404984486508997E-4</v>
      </c>
      <c r="CV23" s="37">
        <f>ABS(MIN((CV5-CV4),0))</f>
        <v>0</v>
      </c>
      <c r="CW23" s="37">
        <f>ABS(MIN((CW5-CW4),0))</f>
        <v>5.3942628403549605E-4</v>
      </c>
      <c r="CX23" s="37">
        <f>ABS(MIN((CX5-CX4),0))</f>
        <v>1.1927810649759495E-3</v>
      </c>
      <c r="CY23" s="37">
        <f>ABS(MIN((CY5-CY4),0))</f>
        <v>3.2644534409867997E-4</v>
      </c>
      <c r="CZ23" s="37">
        <f>ABS(MIN((CZ5-CZ4),0))</f>
        <v>4.5068422572848313E-4</v>
      </c>
      <c r="DA23" s="37">
        <f>ABS(MIN((DA5-DA4),0))</f>
        <v>2.0910513837966202E-4</v>
      </c>
      <c r="DB23" s="37">
        <f>ABS(MIN((DB5-DB4),0))</f>
        <v>3.7535068478263998E-4</v>
      </c>
      <c r="DC23" s="37">
        <f>ABS(MIN((DC5-DC4),0))</f>
        <v>3.1993550264831406E-4</v>
      </c>
      <c r="DD23" s="37">
        <f>ABS(MIN((DD5-DD4),0))</f>
        <v>0</v>
      </c>
      <c r="DE23" s="37">
        <f>ABS(MIN((DE5-DE4),0))</f>
        <v>2.9699426948314811E-4</v>
      </c>
      <c r="DF23" s="37">
        <f>ABS(MIN((DF5-DF4),0))</f>
        <v>0</v>
      </c>
      <c r="DG23" s="37">
        <f>ABS(MIN((DG5-DG4),0))</f>
        <v>3.4721663011372012E-4</v>
      </c>
      <c r="DH23" s="37">
        <f>ABS(MIN((DH5-DH4),0))</f>
        <v>2.5932749901022806E-4</v>
      </c>
      <c r="DI23" s="37">
        <f>ABS(MIN((DI5-DI4),0))</f>
        <v>2.14297959883421E-4</v>
      </c>
      <c r="DJ23" s="37">
        <f>ABS(MIN((DJ5-DJ4),0))</f>
        <v>9.0987263739790263E-5</v>
      </c>
      <c r="DK23" s="37">
        <f>ABS(MIN((DK5-DK4),0))</f>
        <v>0</v>
      </c>
      <c r="DL23" s="37">
        <f>ABS(MIN((DL5-DL4),0))</f>
        <v>2.2080780133377988E-4</v>
      </c>
      <c r="DM23" s="37">
        <f>ABS(MIN((DM5-DM4),0))</f>
        <v>1.1819313292253306E-4</v>
      </c>
      <c r="DN23" s="37">
        <f>ABS(MIN((DN5-DN4),0))</f>
        <v>0</v>
      </c>
      <c r="DO23" s="37">
        <f>ABS(MIN((DO5-DO4),0))</f>
        <v>0</v>
      </c>
      <c r="DP23" s="37">
        <f>ABS(MIN((DP5-DP4),0))</f>
        <v>5.6887735865102009E-4</v>
      </c>
      <c r="DQ23" s="37">
        <f>ABS(MIN((DQ5-DQ4),0))</f>
        <v>0</v>
      </c>
      <c r="DR23" s="37">
        <f>ABS(MIN((DR5-DR4),0))</f>
        <v>0</v>
      </c>
      <c r="DS23" s="37">
        <f>ABS(MIN((DS5-DS4),0))</f>
        <v>1.6616025368262595E-3</v>
      </c>
    </row>
    <row r="24" spans="1:123">
      <c r="B24" s="37">
        <f>ABS(MIN((B6-B5),0))</f>
        <v>8.4659578197159805E-5</v>
      </c>
      <c r="C24" s="37">
        <f>ABS(MIN((C6-C5),0))</f>
        <v>2.4575512198746988E-4</v>
      </c>
      <c r="D24" s="37">
        <f>ABS(MIN((D6-D5),0))</f>
        <v>0</v>
      </c>
      <c r="E24" s="37">
        <f>ABS(MIN((E6-E5),0))</f>
        <v>0</v>
      </c>
      <c r="F24" s="37">
        <f>ABS(MIN((F6-F5),0))</f>
        <v>4.4923973697414505E-4</v>
      </c>
      <c r="G24" s="37">
        <f>ABS(MIN((G6-G5),0))</f>
        <v>0</v>
      </c>
      <c r="H24" s="37">
        <f>ABS(MIN((H6-H5),0))</f>
        <v>5.7437238896743017E-4</v>
      </c>
      <c r="I24" s="37">
        <f>ABS(MIN((I6-I5),0))</f>
        <v>0</v>
      </c>
      <c r="J24" s="37">
        <f>ABS(MIN((J6-J5),0))</f>
        <v>0</v>
      </c>
      <c r="K24" s="37">
        <f>ABS(MIN((K6-K5),0))</f>
        <v>0</v>
      </c>
      <c r="L24" s="37">
        <f>ABS(MIN((L6-L5),0))</f>
        <v>5.8395237596861984E-5</v>
      </c>
      <c r="M24" s="37">
        <f>ABS(MIN((M6-M5),0))</f>
        <v>3.844183199779701E-4</v>
      </c>
      <c r="N24" s="37">
        <f>ABS(MIN((N6-N5),0))</f>
        <v>0</v>
      </c>
      <c r="O24" s="37">
        <f>ABS(MIN((O6-O5),0))</f>
        <v>0</v>
      </c>
      <c r="P24" s="37">
        <f>ABS(MIN((P6-P5),0))</f>
        <v>1.2896464679374971E-4</v>
      </c>
      <c r="Q24" s="37">
        <f>ABS(MIN((Q6-Q5),0))</f>
        <v>1.3983318947228098E-3</v>
      </c>
      <c r="R24" s="37">
        <f>ABS(MIN((R6-R5),0))</f>
        <v>0</v>
      </c>
      <c r="S24" s="37">
        <f>ABS(MIN((S6-S5),0))</f>
        <v>0</v>
      </c>
      <c r="T24" s="37">
        <f>ABS(MIN((T6-T5),0))</f>
        <v>3.4462343338045691E-4</v>
      </c>
      <c r="U24" s="37">
        <f>ABS(MIN((U6-U5),0))</f>
        <v>0</v>
      </c>
      <c r="V24" s="37">
        <f>ABS(MIN((V6-V5),0))</f>
        <v>1.8025551779271044E-4</v>
      </c>
      <c r="W24" s="37">
        <f>ABS(MIN((W6-W5),0))</f>
        <v>0</v>
      </c>
      <c r="X24" s="37">
        <f>ABS(MIN((X6-X5),0))</f>
        <v>0</v>
      </c>
      <c r="Y24" s="37">
        <f>ABS(MIN((Y6-Y5),0))</f>
        <v>0</v>
      </c>
      <c r="Z24" s="37">
        <f>ABS(MIN((Z6-Z5),0))</f>
        <v>6.9240067436280011E-4</v>
      </c>
      <c r="AA24" s="37">
        <f>ABS(MIN((AA6-AA5),0))</f>
        <v>0</v>
      </c>
      <c r="AB24" s="37">
        <f>ABS(MIN((AB6-AB5),0))</f>
        <v>0</v>
      </c>
      <c r="AC24" s="37">
        <f>ABS(MIN((AC6-AC5),0))</f>
        <v>0</v>
      </c>
      <c r="AD24" s="37">
        <f>ABS(MIN((AD6-AD5),0))</f>
        <v>3.0922016458645105E-4</v>
      </c>
      <c r="AE24" s="37">
        <f>ABS(MIN((AE6-AE5),0))</f>
        <v>0</v>
      </c>
      <c r="AF24" s="37">
        <f>ABS(MIN((AF6-AF5),0))</f>
        <v>2.547754859856191E-4</v>
      </c>
      <c r="AG24" s="37">
        <f>ABS(MIN((AG6-AG5),0))</f>
        <v>2.7145983958472687E-4</v>
      </c>
      <c r="AH24" s="37">
        <f>ABS(MIN((AH6-AH5),0))</f>
        <v>2.6942527798892984E-5</v>
      </c>
      <c r="AI24" s="37">
        <f>ABS(MIN((AI6-AI5),0))</f>
        <v>5.8395237596862038E-4</v>
      </c>
      <c r="AJ24" s="37">
        <f>ABS(MIN((AJ6-AJ5),0))</f>
        <v>2.7543932824447802E-3</v>
      </c>
      <c r="AK24" s="37">
        <f>ABS(MIN((AK6-AK5),0))</f>
        <v>8.7592856395293014E-4</v>
      </c>
      <c r="AL24" s="37">
        <f>ABS(MIN((AL6-AL5),0))</f>
        <v>0</v>
      </c>
      <c r="AM24" s="37">
        <f>ABS(MIN((AM6-AM5),0))</f>
        <v>0</v>
      </c>
      <c r="AN24" s="37">
        <f>ABS(MIN((AN6-AN5),0))</f>
        <v>0</v>
      </c>
      <c r="AO24" s="37">
        <f>ABS(MIN((AO6-AO5),0))</f>
        <v>5.2240333076987509E-4</v>
      </c>
      <c r="AP24" s="37">
        <f>ABS(MIN((AP6-AP5),0))</f>
        <v>1.1885396645323798E-3</v>
      </c>
      <c r="AQ24" s="37">
        <f>ABS(MIN((AQ6-AQ5),0))</f>
        <v>5.4551386376829698E-4</v>
      </c>
      <c r="AR24" s="37">
        <f>ABS(MIN((AR6-AR5),0))</f>
        <v>2.7980201638428998E-4</v>
      </c>
      <c r="AS24" s="37">
        <f>ABS(MIN((AS6-AS5),0))</f>
        <v>0</v>
      </c>
      <c r="AT24" s="37">
        <f>ABS(MIN((AT6-AT5),0))</f>
        <v>5.8395237596861984E-5</v>
      </c>
      <c r="AU24" s="37">
        <f>ABS(MIN((AU6-AU5),0))</f>
        <v>0</v>
      </c>
      <c r="AV24" s="37">
        <f>ABS(MIN((AV6-AV5),0))</f>
        <v>9.1085757596470231E-5</v>
      </c>
      <c r="AW24" s="37">
        <f>ABS(MIN((AW6-AW5),0))</f>
        <v>1.64927538590797E-4</v>
      </c>
      <c r="AX24" s="37">
        <f>ABS(MIN((AX6-AX5),0))</f>
        <v>0</v>
      </c>
      <c r="AY24" s="37">
        <f>ABS(MIN((AY6-AY5),0))</f>
        <v>0</v>
      </c>
      <c r="AZ24" s="37">
        <f>ABS(MIN((AZ6-AZ5),0))</f>
        <v>0</v>
      </c>
      <c r="BA24" s="37">
        <f>ABS(MIN((BA6-BA5),0))</f>
        <v>8.1505770595278505E-5</v>
      </c>
      <c r="BB24" s="37">
        <f>ABS(MIN((BB6-BB5),0))</f>
        <v>4.1710883997758978E-5</v>
      </c>
      <c r="BC24" s="37">
        <f>ABS(MIN((BC6-BC5),0))</f>
        <v>0</v>
      </c>
      <c r="BD24" s="37">
        <f>ABS(MIN((BD6-BD5),0))</f>
        <v>0</v>
      </c>
      <c r="BE24" s="37">
        <f>ABS(MIN((BE6-BE5),0))</f>
        <v>0</v>
      </c>
      <c r="BF24" s="37">
        <f>ABS(MIN((BF6-BF5),0))</f>
        <v>6.2893563176381309E-4</v>
      </c>
      <c r="BG24" s="37">
        <f>ABS(MIN((BG6-BG5),0))</f>
        <v>4.7618226477303999E-4</v>
      </c>
      <c r="BH24" s="37">
        <f>ABS(MIN((BH6-BH5),0))</f>
        <v>1.6684353599103006E-5</v>
      </c>
      <c r="BI24" s="37">
        <f>ABS(MIN((BI6-BI5),0))</f>
        <v>0</v>
      </c>
      <c r="BJ24" s="37">
        <f>ABS(MIN((BJ6-BJ5),0))</f>
        <v>0</v>
      </c>
      <c r="BK24" s="37">
        <f>ABS(MIN((BK6-BK5),0))</f>
        <v>5.9297273996676992E-4</v>
      </c>
      <c r="BL24" s="37">
        <f>ABS(MIN((BL6-BL5),0))</f>
        <v>2.94570372583148E-4</v>
      </c>
      <c r="BM24" s="37">
        <f>ABS(MIN((BM6-BM5),0))</f>
        <v>1.0010612159462096E-4</v>
      </c>
      <c r="BN24" s="37">
        <f>ABS(MIN((BN6-BN5),0))</f>
        <v>0</v>
      </c>
      <c r="BO24" s="37">
        <f>ABS(MIN((BO6-BO5),0))</f>
        <v>0</v>
      </c>
      <c r="BP24" s="37">
        <f>ABS(MIN((BP6-BP5),0))</f>
        <v>0</v>
      </c>
      <c r="BQ24" s="37">
        <f>ABS(MIN((BQ6-BQ5),0))</f>
        <v>0</v>
      </c>
      <c r="BR24" s="37">
        <f>ABS(MIN((BR6-BR5),0))</f>
        <v>0</v>
      </c>
      <c r="BS24" s="37">
        <f>ABS(MIN((BS6-BS5),0))</f>
        <v>0</v>
      </c>
      <c r="BT24" s="37">
        <f>ABS(MIN((BT6-BT5),0))</f>
        <v>0</v>
      </c>
      <c r="BU24" s="37">
        <f>ABS(MIN((BU6-BU5),0))</f>
        <v>0</v>
      </c>
      <c r="BV24" s="37">
        <f>ABS(MIN((BV6-BV5),0))</f>
        <v>0</v>
      </c>
      <c r="BW24" s="37">
        <f>ABS(MIN((BW6-BW5),0))</f>
        <v>8.342176799551698E-5</v>
      </c>
      <c r="BX24" s="37">
        <f>ABS(MIN((BX6-BX5),0))</f>
        <v>0</v>
      </c>
      <c r="BY24" s="37">
        <f>ABS(MIN((BY6-BY5),0))</f>
        <v>8.9729383199270256E-5</v>
      </c>
      <c r="BZ24" s="37">
        <f>ABS(MIN((BZ6-BZ5),0))</f>
        <v>5.9633047798499875E-5</v>
      </c>
      <c r="CA24" s="37">
        <f>ABS(MIN((CA6-CA5),0))</f>
        <v>0</v>
      </c>
      <c r="CB24" s="37">
        <f>ABS(MIN((CB6-CB5),0))</f>
        <v>1.4090169000269964E-5</v>
      </c>
      <c r="CC24" s="37">
        <f>ABS(MIN((CC6-CC5),0))</f>
        <v>1.9159974002390173E-6</v>
      </c>
      <c r="CD24" s="37">
        <f>ABS(MIN((CD6-CD5),0))</f>
        <v>4.1068266057826992E-4</v>
      </c>
      <c r="CE24" s="37">
        <f>ABS(MIN((CE6-CE5),0))</f>
        <v>0</v>
      </c>
      <c r="CF24" s="37">
        <f>ABS(MIN((CF6-CF5),0))</f>
        <v>0</v>
      </c>
      <c r="CG24" s="37">
        <f>ABS(MIN((CG6-CG5),0))</f>
        <v>7.56392141990107E-5</v>
      </c>
      <c r="CH24" s="37">
        <f>ABS(MIN((CH6-CH5),0))</f>
        <v>3.4270743598021898E-4</v>
      </c>
      <c r="CI24" s="37">
        <f>ABS(MIN((CI6-CI5),0))</f>
        <v>7.7841662695714037E-4</v>
      </c>
      <c r="CJ24" s="37">
        <f>ABS(MIN((CJ6-CJ5),0))</f>
        <v>0</v>
      </c>
      <c r="CK24" s="37">
        <f>ABS(MIN((CK6-CK5),0))</f>
        <v>0</v>
      </c>
      <c r="CL24" s="37">
        <f>ABS(MIN((CL6-CL5),0))</f>
        <v>0</v>
      </c>
      <c r="CM24" s="37">
        <f>ABS(MIN((CM6-CM5),0))</f>
        <v>0</v>
      </c>
      <c r="CN24" s="37">
        <f>ABS(MIN((CN6-CN5),0))</f>
        <v>2.5218130138678985E-4</v>
      </c>
      <c r="CO24" s="37">
        <f>ABS(MIN((CO6-CO5),0))</f>
        <v>5.7233782737163043E-4</v>
      </c>
      <c r="CP24" s="37">
        <f>ABS(MIN((CP6-CP5),0))</f>
        <v>3.5284704598446005E-5</v>
      </c>
      <c r="CQ24" s="37">
        <f>ABS(MIN((CQ6-CQ5),0))</f>
        <v>0</v>
      </c>
      <c r="CR24" s="37">
        <f>ABS(MIN((CR6-CR5),0))</f>
        <v>0</v>
      </c>
      <c r="CS24" s="37">
        <f>ABS(MIN((CS6-CS5),0))</f>
        <v>3.9659249157801015E-4</v>
      </c>
      <c r="CT24" s="37">
        <f>ABS(MIN((CT6-CT5),0))</f>
        <v>6.911628641611497E-4</v>
      </c>
      <c r="CU24" s="37">
        <f>ABS(MIN((CU6-CU5),0))</f>
        <v>0</v>
      </c>
      <c r="CV24" s="37">
        <f>ABS(MIN((CV6-CV5),0))</f>
        <v>4.3626881397996965E-5</v>
      </c>
      <c r="CW24" s="37">
        <f>ABS(MIN((CW6-CW5),0))</f>
        <v>1.6684353599103006E-5</v>
      </c>
      <c r="CX24" s="37">
        <f>ABS(MIN((CX6-CX5),0))</f>
        <v>0</v>
      </c>
      <c r="CY24" s="37">
        <f>ABS(MIN((CY6-CY5),0))</f>
        <v>0</v>
      </c>
      <c r="CZ24" s="37">
        <f>ABS(MIN((CZ6-CZ5),0))</f>
        <v>0</v>
      </c>
      <c r="DA24" s="37">
        <f>ABS(MIN((DA6-DA5),0))</f>
        <v>0</v>
      </c>
      <c r="DB24" s="37">
        <f>ABS(MIN((DB6-DB5),0))</f>
        <v>0</v>
      </c>
      <c r="DC24" s="37">
        <f>ABS(MIN((DC6-DC5),0))</f>
        <v>0</v>
      </c>
      <c r="DD24" s="37">
        <f>ABS(MIN((DD6-DD5),0))</f>
        <v>1.0036554005450398E-3</v>
      </c>
      <c r="DE24" s="37">
        <f>ABS(MIN((DE6-DE5),0))</f>
        <v>0</v>
      </c>
      <c r="DF24" s="37">
        <f>ABS(MIN((DF6-DF5),0))</f>
        <v>2.400071297867601E-4</v>
      </c>
      <c r="DG24" s="37">
        <f>ABS(MIN((DG6-DG5),0))</f>
        <v>0</v>
      </c>
      <c r="DH24" s="37">
        <f>ABS(MIN((DH6-DH5),0))</f>
        <v>0</v>
      </c>
      <c r="DI24" s="37">
        <f>ABS(MIN((DI6-DI5),0))</f>
        <v>0</v>
      </c>
      <c r="DJ24" s="37">
        <f>ABS(MIN((DJ6-DJ5),0))</f>
        <v>0</v>
      </c>
      <c r="DK24" s="37">
        <f>ABS(MIN((DK6-DK5),0))</f>
        <v>0</v>
      </c>
      <c r="DL24" s="37">
        <f>ABS(MIN((DL6-DL5),0))</f>
        <v>0</v>
      </c>
      <c r="DM24" s="37">
        <f>ABS(MIN((DM6-DM5),0))</f>
        <v>0</v>
      </c>
      <c r="DN24" s="37">
        <f>ABS(MIN((DN6-DN5),0))</f>
        <v>0</v>
      </c>
      <c r="DO24" s="37">
        <f>ABS(MIN((DO6-DO5),0))</f>
        <v>0</v>
      </c>
      <c r="DP24" s="37">
        <f>ABS(MIN((DP6-DP5),0))</f>
        <v>0</v>
      </c>
      <c r="DQ24" s="37">
        <f>ABS(MIN((DQ6-DQ5),0))</f>
        <v>0</v>
      </c>
      <c r="DR24" s="37">
        <f>ABS(MIN((DR6-DR5),0))</f>
        <v>1.054946271543929E-3</v>
      </c>
      <c r="DS24" s="37">
        <f>ABS(MIN((DS6-DS5),0))</f>
        <v>0</v>
      </c>
    </row>
    <row r="25" spans="1:123">
      <c r="B25" s="37">
        <f>ABS(MIN((B7-B6),0))</f>
        <v>3.4919058639886012E-4</v>
      </c>
      <c r="C25" s="37">
        <f>ABS(MIN((C7-C6),0))</f>
        <v>0</v>
      </c>
      <c r="D25" s="37">
        <f>ABS(MIN((D7-D6),0))</f>
        <v>0</v>
      </c>
      <c r="E25" s="37">
        <f>ABS(MIN((E7-E6),0))</f>
        <v>0</v>
      </c>
      <c r="F25" s="37">
        <f>ABS(MIN((F7-F6),0))</f>
        <v>0</v>
      </c>
      <c r="G25" s="37">
        <f>ABS(MIN((G7-G6),0))</f>
        <v>0</v>
      </c>
      <c r="H25" s="37">
        <f>ABS(MIN((H7-H6),0))</f>
        <v>0</v>
      </c>
      <c r="I25" s="37">
        <f>ABS(MIN((I7-I6),0))</f>
        <v>0</v>
      </c>
      <c r="J25" s="37">
        <f>ABS(MIN((J7-J6),0))</f>
        <v>1.24235699496362E-4</v>
      </c>
      <c r="K25" s="37">
        <f>ABS(MIN((K7-K6),0))</f>
        <v>0</v>
      </c>
      <c r="L25" s="37">
        <f>ABS(MIN((L7-L6),0))</f>
        <v>4.860001350820599E-5</v>
      </c>
      <c r="M25" s="37">
        <f>ABS(MIN((M7-M6),0))</f>
        <v>0</v>
      </c>
      <c r="N25" s="37">
        <f>ABS(MIN((N7-N6),0))</f>
        <v>1.6870522251397299E-3</v>
      </c>
      <c r="O25" s="37">
        <f>ABS(MIN((O7-O6),0))</f>
        <v>4.8248097469233983E-4</v>
      </c>
      <c r="P25" s="37">
        <f>ABS(MIN((P7-P6),0))</f>
        <v>0</v>
      </c>
      <c r="Q25" s="37">
        <f>ABS(MIN((Q7-Q6),0))</f>
        <v>0</v>
      </c>
      <c r="R25" s="37">
        <f>ABS(MIN((R7-R6),0))</f>
        <v>7.1667146908530131E-6</v>
      </c>
      <c r="S25" s="37">
        <f>ABS(MIN((S7-S6),0))</f>
        <v>8.497809386854298E-4</v>
      </c>
      <c r="T25" s="37">
        <f>ABS(MIN((T7-T6),0))</f>
        <v>1.62021444012589E-4</v>
      </c>
      <c r="U25" s="37">
        <f>ABS(MIN((U7-U6),0))</f>
        <v>0</v>
      </c>
      <c r="V25" s="37">
        <f>ABS(MIN((V7-V6),0))</f>
        <v>3.3831212045117975E-4</v>
      </c>
      <c r="W25" s="37">
        <f>ABS(MIN((W7-W6),0))</f>
        <v>3.1329281598889793E-4</v>
      </c>
      <c r="X25" s="37">
        <f>ABS(MIN((X7-X6),0))</f>
        <v>5.9285888588790289E-5</v>
      </c>
      <c r="Y25" s="37">
        <f>ABS(MIN((Y7-Y6),0))</f>
        <v>5.0769287002172992E-4</v>
      </c>
      <c r="Z25" s="37">
        <f>ABS(MIN((Z7-Z6),0))</f>
        <v>0</v>
      </c>
      <c r="AA25" s="37">
        <f>ABS(MIN((AA7-AA6),0))</f>
        <v>5.2183370853632984E-5</v>
      </c>
      <c r="AB25" s="37">
        <f>ABS(MIN((AB7-AB6),0))</f>
        <v>0</v>
      </c>
      <c r="AC25" s="37">
        <f>ABS(MIN((AC7-AC6),0))</f>
        <v>1.8716914238627036E-4</v>
      </c>
      <c r="AD25" s="37">
        <f>ABS(MIN((AD7-AD6),0))</f>
        <v>0</v>
      </c>
      <c r="AE25" s="37">
        <f>ABS(MIN((AE7-AE6),0))</f>
        <v>0</v>
      </c>
      <c r="AF25" s="37">
        <f>ABS(MIN((AF7-AF6),0))</f>
        <v>0</v>
      </c>
      <c r="AG25" s="37">
        <f>ABS(MIN((AG7-AG6),0))</f>
        <v>0</v>
      </c>
      <c r="AH25" s="37">
        <f>ABS(MIN((AH7-AH6),0))</f>
        <v>0</v>
      </c>
      <c r="AI25" s="37">
        <f>ABS(MIN((AI7-AI6),0))</f>
        <v>0</v>
      </c>
      <c r="AJ25" s="37">
        <f>ABS(MIN((AJ7-AJ6),0))</f>
        <v>1.4059454283039605E-3</v>
      </c>
      <c r="AK25" s="37">
        <f>ABS(MIN((AK7-AK6),0))</f>
        <v>0</v>
      </c>
      <c r="AL25" s="37">
        <f>ABS(MIN((AL7-AL6),0))</f>
        <v>0</v>
      </c>
      <c r="AM25" s="37">
        <f>ABS(MIN((AM7-AM6),0))</f>
        <v>1.0908288351645003E-3</v>
      </c>
      <c r="AN25" s="37">
        <f>ABS(MIN((AN7-AN6),0))</f>
        <v>0</v>
      </c>
      <c r="AO25" s="37">
        <f>ABS(MIN((AO7-AO6),0))</f>
        <v>0</v>
      </c>
      <c r="AP25" s="37">
        <f>ABS(MIN((AP7-AP6),0))</f>
        <v>0</v>
      </c>
      <c r="AQ25" s="37">
        <f>ABS(MIN((AQ7-AQ6),0))</f>
        <v>0</v>
      </c>
      <c r="AR25" s="37">
        <f>ABS(MIN((AR7-AR6),0))</f>
        <v>0</v>
      </c>
      <c r="AS25" s="37">
        <f>ABS(MIN((AS7-AS6),0))</f>
        <v>2.4664762184215601E-4</v>
      </c>
      <c r="AT25" s="37">
        <f>ABS(MIN((AT7-AT6),0))</f>
        <v>0</v>
      </c>
      <c r="AU25" s="37">
        <f>ABS(MIN((AU7-AU6),0))</f>
        <v>0</v>
      </c>
      <c r="AV25" s="37">
        <f>ABS(MIN((AV7-AV6),0))</f>
        <v>5.0586909287115992E-4</v>
      </c>
      <c r="AW25" s="37">
        <f>ABS(MIN((AW7-AW6),0))</f>
        <v>0</v>
      </c>
      <c r="AX25" s="37">
        <f>ABS(MIN((AX7-AX6),0))</f>
        <v>2.3765713000074395E-4</v>
      </c>
      <c r="AY25" s="37">
        <f>ABS(MIN((AY7-AY6),0))</f>
        <v>4.0690948565987701E-4</v>
      </c>
      <c r="AZ25" s="37">
        <f>ABS(MIN((AZ7-AZ6),0))</f>
        <v>0</v>
      </c>
      <c r="BA25" s="37">
        <f>ABS(MIN((BA7-BA6),0))</f>
        <v>0</v>
      </c>
      <c r="BB25" s="37">
        <f>ABS(MIN((BB7-BB6),0))</f>
        <v>5.4007148004195989E-5</v>
      </c>
      <c r="BC25" s="37">
        <f>ABS(MIN((BC7-BC6),0))</f>
        <v>0</v>
      </c>
      <c r="BD25" s="37">
        <f>ABS(MIN((BD7-BD6),0))</f>
        <v>5.9414282500186015E-5</v>
      </c>
      <c r="BE25" s="37">
        <f>ABS(MIN((BE7-BE6),0))</f>
        <v>0</v>
      </c>
      <c r="BF25" s="37">
        <f>ABS(MIN((BF7-BF6),0))</f>
        <v>0</v>
      </c>
      <c r="BG25" s="37">
        <f>ABS(MIN((BG7-BG6),0))</f>
        <v>0</v>
      </c>
      <c r="BH25" s="37">
        <f>ABS(MIN((BH7-BH6),0))</f>
        <v>0</v>
      </c>
      <c r="BI25" s="37">
        <f>ABS(MIN((BI7-BI6),0))</f>
        <v>0</v>
      </c>
      <c r="BJ25" s="37">
        <f>ABS(MIN((BJ7-BJ6),0))</f>
        <v>6.2105010357040979E-4</v>
      </c>
      <c r="BK25" s="37">
        <f>ABS(MIN((BK7-BK6),0))</f>
        <v>0</v>
      </c>
      <c r="BL25" s="37">
        <f>ABS(MIN((BL7-BL6),0))</f>
        <v>0</v>
      </c>
      <c r="BM25" s="37">
        <f>ABS(MIN((BM7-BM6),0))</f>
        <v>0</v>
      </c>
      <c r="BN25" s="37">
        <f>ABS(MIN((BN7-BN6),0))</f>
        <v>2.448238446916E-4</v>
      </c>
      <c r="BO25" s="37">
        <f>ABS(MIN((BO7-BO6),0))</f>
        <v>0</v>
      </c>
      <c r="BP25" s="37">
        <f>ABS(MIN((BP7-BP6),0))</f>
        <v>3.9068808217191981E-4</v>
      </c>
      <c r="BQ25" s="37">
        <f>ABS(MIN((BQ7-BQ6),0))</f>
        <v>1.6580643815978201E-3</v>
      </c>
      <c r="BR25" s="37">
        <f>ABS(MIN((BR7-BR6),0))</f>
        <v>0</v>
      </c>
      <c r="BS25" s="37">
        <f>ABS(MIN((BS7-BS6),0))</f>
        <v>4.1935494093532991E-4</v>
      </c>
      <c r="BT25" s="37">
        <f>ABS(MIN((BT7-BT6),0))</f>
        <v>5.4007148004195989E-5</v>
      </c>
      <c r="BU25" s="37">
        <f>ABS(MIN((BU7-BU6),0))</f>
        <v>5.8320016209848034E-4</v>
      </c>
      <c r="BV25" s="37">
        <f>ABS(MIN((BV7-BV6),0))</f>
        <v>0</v>
      </c>
      <c r="BW25" s="37">
        <f>ABS(MIN((BW7-BW6),0))</f>
        <v>0</v>
      </c>
      <c r="BX25" s="37">
        <f>ABS(MIN((BX7-BX6),0))</f>
        <v>2.6984314915387986E-4</v>
      </c>
      <c r="BY25" s="37">
        <f>ABS(MIN((BY7-BY6),0))</f>
        <v>0</v>
      </c>
      <c r="BZ25" s="37">
        <f>ABS(MIN((BZ7-BZ6),0))</f>
        <v>0</v>
      </c>
      <c r="CA25" s="37">
        <f>ABS(MIN((CA7-CA6),0))</f>
        <v>0</v>
      </c>
      <c r="CB25" s="37">
        <f>ABS(MIN((CB7-CB6),0))</f>
        <v>0</v>
      </c>
      <c r="CC25" s="37">
        <f>ABS(MIN((CC7-CC6),0))</f>
        <v>0</v>
      </c>
      <c r="CD25" s="37">
        <f>ABS(MIN((CD7-CD6),0))</f>
        <v>0</v>
      </c>
      <c r="CE25" s="37">
        <f>ABS(MIN((CE7-CE6),0))</f>
        <v>0</v>
      </c>
      <c r="CF25" s="37">
        <f>ABS(MIN((CF7-CF6),0))</f>
        <v>3.4749520315969899E-4</v>
      </c>
      <c r="CG25" s="37">
        <f>ABS(MIN((CG7-CG6),0))</f>
        <v>2.1225264380425948E-4</v>
      </c>
      <c r="CH25" s="37">
        <f>ABS(MIN((CH7-CH6),0))</f>
        <v>0</v>
      </c>
      <c r="CI25" s="37">
        <f>ABS(MIN((CI7-CI6),0))</f>
        <v>0</v>
      </c>
      <c r="CJ25" s="37">
        <f>ABS(MIN((CJ7-CJ6),0))</f>
        <v>0</v>
      </c>
      <c r="CK25" s="37">
        <f>ABS(MIN((CK7-CK6),0))</f>
        <v>3.1492400227236053E-4</v>
      </c>
      <c r="CL25" s="37">
        <f>ABS(MIN((CL7-CL6),0))</f>
        <v>0</v>
      </c>
      <c r="CM25" s="37">
        <f>ABS(MIN((CM7-CM6),0))</f>
        <v>3.5187518636449824E-4</v>
      </c>
      <c r="CN25" s="37">
        <f>ABS(MIN((CN7-CN6),0))</f>
        <v>0</v>
      </c>
      <c r="CO25" s="37">
        <f>ABS(MIN((CO7-CO6),0))</f>
        <v>1.4371947555125858E-4</v>
      </c>
      <c r="CP25" s="37">
        <f>ABS(MIN((CP7-CP6),0))</f>
        <v>0</v>
      </c>
      <c r="CQ25" s="37">
        <f>ABS(MIN((CQ7-CQ6),0))</f>
        <v>0</v>
      </c>
      <c r="CR25" s="37">
        <f>ABS(MIN((CR7-CR6),0))</f>
        <v>2.5387853348871297E-4</v>
      </c>
      <c r="CS25" s="37">
        <f>ABS(MIN((CS7-CS6),0))</f>
        <v>0</v>
      </c>
      <c r="CT25" s="37">
        <f>ABS(MIN((CT7-CT6),0))</f>
        <v>0</v>
      </c>
      <c r="CU25" s="37">
        <f>ABS(MIN((CU7-CU6),0))</f>
        <v>0</v>
      </c>
      <c r="CV25" s="37">
        <f>ABS(MIN((CV7-CV6),0))</f>
        <v>7.1667146908530131E-6</v>
      </c>
      <c r="CW25" s="37">
        <f>ABS(MIN((CW7-CW6),0))</f>
        <v>0</v>
      </c>
      <c r="CX25" s="37">
        <f>ABS(MIN((CX7-CX6),0))</f>
        <v>2.5896468320620036E-4</v>
      </c>
      <c r="CY25" s="37">
        <f>ABS(MIN((CY7-CY6),0))</f>
        <v>0</v>
      </c>
      <c r="CZ25" s="37">
        <f>ABS(MIN((CZ7-CZ6),0))</f>
        <v>0</v>
      </c>
      <c r="DA25" s="37">
        <f>ABS(MIN((DA7-DA6),0))</f>
        <v>7.3811908837592005E-5</v>
      </c>
      <c r="DB25" s="37">
        <f>ABS(MIN((DB7-DB6),0))</f>
        <v>0</v>
      </c>
      <c r="DC25" s="37">
        <f>ABS(MIN((DC7-DC6),0))</f>
        <v>3.5290233765568893E-4</v>
      </c>
      <c r="DD25" s="37">
        <f>ABS(MIN((DD7-DD6),0))</f>
        <v>0</v>
      </c>
      <c r="DE25" s="37">
        <f>ABS(MIN((DE7-DE6),0))</f>
        <v>2.9166427800493598E-4</v>
      </c>
      <c r="DF25" s="37">
        <f>ABS(MIN((DF7-DF6),0))</f>
        <v>3.9609521666790601E-4</v>
      </c>
      <c r="DG25" s="37">
        <f>ABS(MIN((DG7-DG6),0))</f>
        <v>0</v>
      </c>
      <c r="DH25" s="37">
        <f>ABS(MIN((DH7-DH6),0))</f>
        <v>0</v>
      </c>
      <c r="DI25" s="37">
        <f>ABS(MIN((DI7-DI6),0))</f>
        <v>0</v>
      </c>
      <c r="DJ25" s="37">
        <f>ABS(MIN((DJ7-DJ6),0))</f>
        <v>6.8083789563098962E-5</v>
      </c>
      <c r="DK25" s="37">
        <f>ABS(MIN((DK7-DK6),0))</f>
        <v>0</v>
      </c>
      <c r="DL25" s="37">
        <f>ABS(MIN((DL7-DL6),0))</f>
        <v>0</v>
      </c>
      <c r="DM25" s="37">
        <f>ABS(MIN((DM7-DM6),0))</f>
        <v>3.38504711318284E-4</v>
      </c>
      <c r="DN25" s="37">
        <f>ABS(MIN((DN7-DN6),0))</f>
        <v>0</v>
      </c>
      <c r="DO25" s="37">
        <f>ABS(MIN((DO7-DO6),0))</f>
        <v>0</v>
      </c>
      <c r="DP25" s="37">
        <f>ABS(MIN((DP7-DP6),0))</f>
        <v>2.5922147102900987E-4</v>
      </c>
      <c r="DQ25" s="37">
        <f>ABS(MIN((DQ7-DQ6),0))</f>
        <v>0</v>
      </c>
      <c r="DR25" s="37">
        <f>ABS(MIN((DR7-DR6),0))</f>
        <v>0</v>
      </c>
      <c r="DS25" s="37">
        <f>ABS(MIN((DS7-DS6),0))</f>
        <v>0</v>
      </c>
    </row>
    <row r="26" spans="1:123">
      <c r="B26" s="37">
        <f>ABS(MIN((B8-B7),0))</f>
        <v>0</v>
      </c>
      <c r="C26" s="37">
        <f>ABS(MIN((C8-C7),0))</f>
        <v>0</v>
      </c>
      <c r="D26" s="37">
        <f>ABS(MIN((D8-D7),0))</f>
        <v>1.6833336177522898E-3</v>
      </c>
      <c r="E26" s="37">
        <f>ABS(MIN((E8-E7),0))</f>
        <v>0</v>
      </c>
      <c r="F26" s="37">
        <f>ABS(MIN((F8-F7),0))</f>
        <v>2.4562274316006205E-4</v>
      </c>
      <c r="G26" s="37">
        <f>ABS(MIN((G8-G7),0))</f>
        <v>8.6076210943147012E-4</v>
      </c>
      <c r="H26" s="37">
        <f>ABS(MIN((H8-H7),0))</f>
        <v>0</v>
      </c>
      <c r="I26" s="37">
        <f>ABS(MIN((I8-I7),0))</f>
        <v>1.933744897376799E-3</v>
      </c>
      <c r="J26" s="37">
        <f>ABS(MIN((J8-J7),0))</f>
        <v>0</v>
      </c>
      <c r="K26" s="37">
        <f>ABS(MIN((K8-K7),0))</f>
        <v>1.2277827109756002E-4</v>
      </c>
      <c r="L26" s="37">
        <f>ABS(MIN((L8-L7),0))</f>
        <v>0</v>
      </c>
      <c r="M26" s="37">
        <f>ABS(MIN((M8-M7),0))</f>
        <v>0</v>
      </c>
      <c r="N26" s="37">
        <f>ABS(MIN((N8-N7),0))</f>
        <v>9.947626700310499E-4</v>
      </c>
      <c r="O26" s="37">
        <f>ABS(MIN((O8-O7),0))</f>
        <v>4.0121217399457999E-4</v>
      </c>
      <c r="P26" s="37">
        <f>ABS(MIN((P8-P7),0))</f>
        <v>0</v>
      </c>
      <c r="Q26" s="37">
        <f>ABS(MIN((Q8-Q7),0))</f>
        <v>1.9200731721718059E-4</v>
      </c>
      <c r="R26" s="37">
        <f>ABS(MIN((R8-R7),0))</f>
        <v>0</v>
      </c>
      <c r="S26" s="37">
        <f>ABS(MIN((S8-S7),0))</f>
        <v>9.7185468427240206E-5</v>
      </c>
      <c r="T26" s="37">
        <f>ABS(MIN((T8-T7),0))</f>
        <v>0</v>
      </c>
      <c r="U26" s="37">
        <f>ABS(MIN((U8-U7),0))</f>
        <v>2.2560798475827998E-4</v>
      </c>
      <c r="V26" s="37">
        <f>ABS(MIN((V8-V7),0))</f>
        <v>0</v>
      </c>
      <c r="W26" s="37">
        <f>ABS(MIN((W8-W7),0))</f>
        <v>0</v>
      </c>
      <c r="X26" s="37">
        <f>ABS(MIN((X8-X7),0))</f>
        <v>6.8017078083597001E-4</v>
      </c>
      <c r="Y26" s="37">
        <f>ABS(MIN((Y8-Y7),0))</f>
        <v>3.3841197713742007E-4</v>
      </c>
      <c r="Z26" s="37">
        <f>ABS(MIN((Z8-Z7),0))</f>
        <v>0</v>
      </c>
      <c r="AA26" s="37">
        <f>ABS(MIN((AA8-AA7),0))</f>
        <v>4.1958661959827102E-4</v>
      </c>
      <c r="AB26" s="37">
        <f>ABS(MIN((AB8-AB7),0))</f>
        <v>0</v>
      </c>
      <c r="AC26" s="37">
        <f>ABS(MIN((AC8-AC7),0))</f>
        <v>8.0517536586579858E-5</v>
      </c>
      <c r="AD26" s="37">
        <f>ABS(MIN((AD8-AD7),0))</f>
        <v>0</v>
      </c>
      <c r="AE26" s="37">
        <f>ABS(MIN((AE8-AE7),0))</f>
        <v>0</v>
      </c>
      <c r="AF26" s="37">
        <f>ABS(MIN((AF8-AF7),0))</f>
        <v>4.0455900055568991E-4</v>
      </c>
      <c r="AG26" s="37">
        <f>ABS(MIN((AG8-AG7),0))</f>
        <v>2.5284110022668997E-4</v>
      </c>
      <c r="AH26" s="37">
        <f>ABS(MIN((AH8-AH7),0))</f>
        <v>1.9115651222324315E-4</v>
      </c>
      <c r="AI26" s="37">
        <f>ABS(MIN((AI8-AI7),0))</f>
        <v>0</v>
      </c>
      <c r="AJ26" s="37">
        <f>ABS(MIN((AJ8-AJ7),0))</f>
        <v>0</v>
      </c>
      <c r="AK26" s="37">
        <f>ABS(MIN((AK8-AK7),0))</f>
        <v>7.3286429704481036E-4</v>
      </c>
      <c r="AL26" s="37">
        <f>ABS(MIN((AL8-AL7),0))</f>
        <v>1.7337297152887805E-4</v>
      </c>
      <c r="AM26" s="37">
        <f>ABS(MIN((AM8-AM7),0))</f>
        <v>9.1122440793289967E-4</v>
      </c>
      <c r="AN26" s="37">
        <f>ABS(MIN((AN8-AN7),0))</f>
        <v>0</v>
      </c>
      <c r="AO26" s="37">
        <f>ABS(MIN((AO8-AO7),0))</f>
        <v>2.6340628385443301E-4</v>
      </c>
      <c r="AP26" s="37">
        <f>ABS(MIN((AP8-AP7),0))</f>
        <v>0</v>
      </c>
      <c r="AQ26" s="37">
        <f>ABS(MIN((AQ8-AQ7),0))</f>
        <v>0</v>
      </c>
      <c r="AR26" s="37">
        <f>ABS(MIN((AR8-AR7),0))</f>
        <v>2.2449237590457002E-4</v>
      </c>
      <c r="AS26" s="37">
        <f>ABS(MIN((AS8-AS7),0))</f>
        <v>0</v>
      </c>
      <c r="AT26" s="37">
        <f>ABS(MIN((AT8-AT7),0))</f>
        <v>0</v>
      </c>
      <c r="AU26" s="37">
        <f>ABS(MIN((AU8-AU7),0))</f>
        <v>0</v>
      </c>
      <c r="AV26" s="37">
        <f>ABS(MIN((AV8-AV7),0))</f>
        <v>0</v>
      </c>
      <c r="AW26" s="37">
        <f>ABS(MIN((AW8-AW7),0))</f>
        <v>2.0172169585099399E-4</v>
      </c>
      <c r="AX26" s="37">
        <f>ABS(MIN((AX8-AX7),0))</f>
        <v>0</v>
      </c>
      <c r="AY26" s="37">
        <f>ABS(MIN((AY8-AY7),0))</f>
        <v>0</v>
      </c>
      <c r="AZ26" s="37">
        <f>ABS(MIN((AZ8-AZ7),0))</f>
        <v>7.8247579055230995E-4</v>
      </c>
      <c r="BA26" s="37">
        <f>ABS(MIN((BA8-BA7),0))</f>
        <v>8.3339659203317051E-6</v>
      </c>
      <c r="BB26" s="37">
        <f>ABS(MIN((BB8-BB7),0))</f>
        <v>0</v>
      </c>
      <c r="BC26" s="37">
        <f>ABS(MIN((BC8-BC7),0))</f>
        <v>2.7364046265740058E-4</v>
      </c>
      <c r="BD26" s="37">
        <f>ABS(MIN((BD8-BD7),0))</f>
        <v>0</v>
      </c>
      <c r="BE26" s="37">
        <f>ABS(MIN((BE8-BE7),0))</f>
        <v>4.3067650717038995E-4</v>
      </c>
      <c r="BF26" s="37">
        <f>ABS(MIN((BF8-BF7),0))</f>
        <v>6.3324900801529959E-5</v>
      </c>
      <c r="BG26" s="37">
        <f>ABS(MIN((BG8-BG7),0))</f>
        <v>1.0886626090870002E-4</v>
      </c>
      <c r="BH26" s="37">
        <f>ABS(MIN((BH8-BH7),0))</f>
        <v>1.0670124416622403E-4</v>
      </c>
      <c r="BI26" s="37">
        <f>ABS(MIN((BI8-BI7),0))</f>
        <v>2.7226495371915002E-4</v>
      </c>
      <c r="BJ26" s="37">
        <f>ABS(MIN((BJ8-BJ7),0))</f>
        <v>0</v>
      </c>
      <c r="BK26" s="37">
        <f>ABS(MIN((BK8-BK7),0))</f>
        <v>0</v>
      </c>
      <c r="BL26" s="37">
        <f>ABS(MIN((BL8-BL7),0))</f>
        <v>0</v>
      </c>
      <c r="BM26" s="37">
        <f>ABS(MIN((BM8-BM7),0))</f>
        <v>0</v>
      </c>
      <c r="BN26" s="37">
        <f>ABS(MIN((BN8-BN7),0))</f>
        <v>0</v>
      </c>
      <c r="BO26" s="37">
        <f>ABS(MIN((BO8-BO7),0))</f>
        <v>0</v>
      </c>
      <c r="BP26" s="37">
        <f>ABS(MIN((BP8-BP7),0))</f>
        <v>0</v>
      </c>
      <c r="BQ26" s="37">
        <f>ABS(MIN((BQ8-BQ7),0))</f>
        <v>6.4893373293215938E-4</v>
      </c>
      <c r="BR26" s="37">
        <f>ABS(MIN((BR8-BR7),0))</f>
        <v>0</v>
      </c>
      <c r="BS26" s="37">
        <f>ABS(MIN((BS8-BS7),0))</f>
        <v>0</v>
      </c>
      <c r="BT26" s="37">
        <f>ABS(MIN((BT8-BT7),0))</f>
        <v>0</v>
      </c>
      <c r="BU26" s="37">
        <f>ABS(MIN((BU8-BU7),0))</f>
        <v>7.7683154531882955E-4</v>
      </c>
      <c r="BV26" s="37">
        <f>ABS(MIN((BV8-BV7),0))</f>
        <v>9.2789233977355959E-5</v>
      </c>
      <c r="BW26" s="37">
        <f>ABS(MIN((BW8-BW7),0))</f>
        <v>5.7740726814018491E-4</v>
      </c>
      <c r="BX26" s="37">
        <f>ABS(MIN((BX8-BX7),0))</f>
        <v>0</v>
      </c>
      <c r="BY26" s="37">
        <f>ABS(MIN((BY8-BY7),0))</f>
        <v>0</v>
      </c>
      <c r="BZ26" s="37">
        <f>ABS(MIN((BZ8-BZ7),0))</f>
        <v>0</v>
      </c>
      <c r="CA26" s="37">
        <f>ABS(MIN((CA8-CA7),0))</f>
        <v>4.0731492220748983E-4</v>
      </c>
      <c r="CB26" s="37">
        <f>ABS(MIN((CB8-CB7),0))</f>
        <v>0</v>
      </c>
      <c r="CC26" s="37">
        <f>ABS(MIN((CC8-CC7),0))</f>
        <v>2.6675311041556005E-4</v>
      </c>
      <c r="CD26" s="37">
        <f>ABS(MIN((CD8-CD7),0))</f>
        <v>1.0313791593085501E-3</v>
      </c>
      <c r="CE26" s="37">
        <f>ABS(MIN((CE8-CE7),0))</f>
        <v>8.5137873562237992E-4</v>
      </c>
      <c r="CF26" s="37">
        <f>ABS(MIN((CF8-CF7),0))</f>
        <v>0</v>
      </c>
      <c r="CG26" s="37">
        <f>ABS(MIN((CG8-CG7),0))</f>
        <v>0</v>
      </c>
      <c r="CH26" s="37">
        <f>ABS(MIN((CH8-CH7),0))</f>
        <v>1.9338772993066197E-4</v>
      </c>
      <c r="CI26" s="37">
        <f>ABS(MIN((CI8-CI7),0))</f>
        <v>0</v>
      </c>
      <c r="CJ26" s="37">
        <f>ABS(MIN((CJ8-CJ7),0))</f>
        <v>1.4846939446025911E-3</v>
      </c>
      <c r="CK26" s="37">
        <f>ABS(MIN((CK8-CK7),0))</f>
        <v>0</v>
      </c>
      <c r="CL26" s="37">
        <f>ABS(MIN((CL8-CL7),0))</f>
        <v>8.7802094618145976E-4</v>
      </c>
      <c r="CM26" s="37">
        <f>ABS(MIN((CM8-CM7),0))</f>
        <v>0</v>
      </c>
      <c r="CN26" s="37">
        <f>ABS(MIN((CN8-CN7),0))</f>
        <v>6.1015222691219008E-4</v>
      </c>
      <c r="CO26" s="37">
        <f>ABS(MIN((CO8-CO7),0))</f>
        <v>0</v>
      </c>
      <c r="CP26" s="37">
        <f>ABS(MIN((CP8-CP7),0))</f>
        <v>5.179538978441581E-4</v>
      </c>
      <c r="CQ26" s="37">
        <f>ABS(MIN((CQ8-CQ7),0))</f>
        <v>0</v>
      </c>
      <c r="CR26" s="37">
        <f>ABS(MIN((CR8-CR7),0))</f>
        <v>0</v>
      </c>
      <c r="CS26" s="37">
        <f>ABS(MIN((CS8-CS7),0))</f>
        <v>5.4846763890874966E-4</v>
      </c>
      <c r="CT26" s="37">
        <f>ABS(MIN((CT8-CT7),0))</f>
        <v>1.7776920597876002E-4</v>
      </c>
      <c r="CU26" s="37">
        <f>ABS(MIN((CU8-CU7),0))</f>
        <v>8.2460412313339979E-4</v>
      </c>
      <c r="CV26" s="37">
        <f>ABS(MIN((CV8-CV7),0))</f>
        <v>0</v>
      </c>
      <c r="CW26" s="37">
        <f>ABS(MIN((CW8-CW7),0))</f>
        <v>4.7772577814575987E-5</v>
      </c>
      <c r="CX26" s="37">
        <f>ABS(MIN((CX8-CX7),0))</f>
        <v>5.5942512455099073E-4</v>
      </c>
      <c r="CY26" s="37">
        <f>ABS(MIN((CY8-CY7),0))</f>
        <v>0</v>
      </c>
      <c r="CZ26" s="37">
        <f>ABS(MIN((CZ8-CZ7),0))</f>
        <v>4.4846004786476003E-4</v>
      </c>
      <c r="DA26" s="37">
        <f>ABS(MIN((DA8-DA7),0))</f>
        <v>0</v>
      </c>
      <c r="DB26" s="37">
        <f>ABS(MIN((DB8-DB7),0))</f>
        <v>0</v>
      </c>
      <c r="DC26" s="37">
        <f>ABS(MIN((DC8-DC7),0))</f>
        <v>0</v>
      </c>
      <c r="DD26" s="37">
        <f>ABS(MIN((DD8-DD7),0))</f>
        <v>4.4498081937376002E-4</v>
      </c>
      <c r="DE26" s="37">
        <f>ABS(MIN((DE8-DE7),0))</f>
        <v>0</v>
      </c>
      <c r="DF26" s="37">
        <f>ABS(MIN((DF8-DF7),0))</f>
        <v>0</v>
      </c>
      <c r="DG26" s="37">
        <f>ABS(MIN((DG8-DG7),0))</f>
        <v>3.5842673553919987E-4</v>
      </c>
      <c r="DH26" s="37">
        <f>ABS(MIN((DH8-DH7),0))</f>
        <v>0</v>
      </c>
      <c r="DI26" s="37">
        <f>ABS(MIN((DI8-DI7),0))</f>
        <v>5.2235013229405016E-5</v>
      </c>
      <c r="DJ26" s="37">
        <f>ABS(MIN((DJ8-DJ7),0))</f>
        <v>0</v>
      </c>
      <c r="DK26" s="37">
        <f>ABS(MIN((DK8-DK7),0))</f>
        <v>0</v>
      </c>
      <c r="DL26" s="37">
        <f>ABS(MIN((DL8-DL7),0))</f>
        <v>6.2517984595476979E-4</v>
      </c>
      <c r="DM26" s="37">
        <f>ABS(MIN((DM8-DM7),0))</f>
        <v>0</v>
      </c>
      <c r="DN26" s="37">
        <f>ABS(MIN((DN8-DN7),0))</f>
        <v>4.941289061265999E-5</v>
      </c>
      <c r="DO26" s="37">
        <f>ABS(MIN((DO8-DO7),0))</f>
        <v>8.6686485764438971E-5</v>
      </c>
      <c r="DP26" s="37">
        <f>ABS(MIN((DP8-DP7),0))</f>
        <v>0</v>
      </c>
      <c r="DQ26" s="37">
        <f>ABS(MIN((DQ8-DQ7),0))</f>
        <v>0</v>
      </c>
      <c r="DR26" s="37">
        <f>ABS(MIN((DR8-DR7),0))</f>
        <v>3.7981700287930027E-4</v>
      </c>
      <c r="DS26" s="37">
        <f>ABS(MIN((DS8-DS7),0))</f>
        <v>7.1514695731537958E-4</v>
      </c>
    </row>
    <row r="27" spans="1:123">
      <c r="B27" s="37">
        <f>ABS(MIN((B9-B8),0))</f>
        <v>1.2652051561366003E-4</v>
      </c>
      <c r="C27" s="37">
        <f>ABS(MIN((C9-C8),0))</f>
        <v>4.6012618010167006E-4</v>
      </c>
      <c r="D27" s="37">
        <f>ABS(MIN((D9-D8),0))</f>
        <v>0</v>
      </c>
      <c r="E27" s="37">
        <f>ABS(MIN((E9-E8),0))</f>
        <v>0</v>
      </c>
      <c r="F27" s="37">
        <f>ABS(MIN((F9-F8),0))</f>
        <v>0</v>
      </c>
      <c r="G27" s="37">
        <f>ABS(MIN((G9-G8),0))</f>
        <v>7.4096768336965029E-4</v>
      </c>
      <c r="H27" s="37">
        <f>ABS(MIN((H9-H8),0))</f>
        <v>0</v>
      </c>
      <c r="I27" s="37">
        <f>ABS(MIN((I9-I8),0))</f>
        <v>0</v>
      </c>
      <c r="J27" s="37">
        <f>ABS(MIN((J9-J8),0))</f>
        <v>3.9714960058100123E-6</v>
      </c>
      <c r="K27" s="37">
        <f>ABS(MIN((K9-K8),0))</f>
        <v>9.9287400145240063E-5</v>
      </c>
      <c r="L27" s="37">
        <f>ABS(MIN((L9-L8),0))</f>
        <v>0</v>
      </c>
      <c r="M27" s="37">
        <f>ABS(MIN((M9-M8),0))</f>
        <v>4.96720679012337E-4</v>
      </c>
      <c r="N27" s="37">
        <f>ABS(MIN((N9-N8),0))</f>
        <v>0</v>
      </c>
      <c r="O27" s="37">
        <f>ABS(MIN((O9-O8),0))</f>
        <v>6.042347494552994E-5</v>
      </c>
      <c r="P27" s="37">
        <f>ABS(MIN((P9-P8),0))</f>
        <v>0</v>
      </c>
      <c r="Q27" s="37">
        <f>ABS(MIN((Q9-Q8),0))</f>
        <v>0</v>
      </c>
      <c r="R27" s="37">
        <f>ABS(MIN((R9-R8),0))</f>
        <v>2.5474310094408012E-4</v>
      </c>
      <c r="S27" s="37">
        <f>ABS(MIN((S9-S8),0))</f>
        <v>0</v>
      </c>
      <c r="T27" s="37">
        <f>ABS(MIN((T9-T8),0))</f>
        <v>4.3913398692810508E-4</v>
      </c>
      <c r="U27" s="37">
        <f>ABS(MIN((U9-U8),0))</f>
        <v>0</v>
      </c>
      <c r="V27" s="37">
        <f>ABS(MIN((V9-V8),0))</f>
        <v>0</v>
      </c>
      <c r="W27" s="37">
        <f>ABS(MIN((W9-W8),0))</f>
        <v>2.3545297748729026E-5</v>
      </c>
      <c r="X27" s="37">
        <f>ABS(MIN((X9-X8),0))</f>
        <v>4.3686456063899998E-5</v>
      </c>
      <c r="Y27" s="37">
        <f>ABS(MIN((Y9-Y8),0))</f>
        <v>0</v>
      </c>
      <c r="Z27" s="37">
        <f>ABS(MIN((Z9-Z8),0))</f>
        <v>5.772853122730506E-4</v>
      </c>
      <c r="AA27" s="37">
        <f>ABS(MIN((AA9-AA8),0))</f>
        <v>0</v>
      </c>
      <c r="AB27" s="37">
        <f>ABS(MIN((AB9-AB8),0))</f>
        <v>4.7544480755264996E-4</v>
      </c>
      <c r="AC27" s="37">
        <f>ABS(MIN((AC9-AC8),0))</f>
        <v>4.7601216412490989E-4</v>
      </c>
      <c r="AD27" s="37">
        <f>ABS(MIN((AD9-AD8),0))</f>
        <v>4.6892020697168052E-4</v>
      </c>
      <c r="AE27" s="37">
        <f>ABS(MIN((AE9-AE8),0))</f>
        <v>4.2977260348584E-4</v>
      </c>
      <c r="AF27" s="37">
        <f>ABS(MIN((AF9-AF8),0))</f>
        <v>0</v>
      </c>
      <c r="AG27" s="37">
        <f>ABS(MIN((AG9-AG8),0))</f>
        <v>0</v>
      </c>
      <c r="AH27" s="37">
        <f>ABS(MIN((AH9-AH8),0))</f>
        <v>0</v>
      </c>
      <c r="AI27" s="37">
        <f>ABS(MIN((AI9-AI8),0))</f>
        <v>0</v>
      </c>
      <c r="AJ27" s="37">
        <f>ABS(MIN((AJ9-AJ8),0))</f>
        <v>0</v>
      </c>
      <c r="AK27" s="37">
        <f>ABS(MIN((AK9-AK8),0))</f>
        <v>0</v>
      </c>
      <c r="AL27" s="37">
        <f>ABS(MIN((AL9-AL8),0))</f>
        <v>0</v>
      </c>
      <c r="AM27" s="37">
        <f>ABS(MIN((AM9-AM8),0))</f>
        <v>3.7275326797385055E-4</v>
      </c>
      <c r="AN27" s="37">
        <f>ABS(MIN((AN9-AN8),0))</f>
        <v>1.0663466775599198E-3</v>
      </c>
      <c r="AO27" s="37">
        <f>ABS(MIN((AO9-AO8),0))</f>
        <v>0</v>
      </c>
      <c r="AP27" s="37">
        <f>ABS(MIN((AP9-AP8),0))</f>
        <v>2.6495551924473996E-4</v>
      </c>
      <c r="AQ27" s="37">
        <f>ABS(MIN((AQ9-AQ8),0))</f>
        <v>9.0493373275237084E-5</v>
      </c>
      <c r="AR27" s="37">
        <f>ABS(MIN((AR9-AR8),0))</f>
        <v>0</v>
      </c>
      <c r="AS27" s="37">
        <f>ABS(MIN((AS9-AS8),0))</f>
        <v>0</v>
      </c>
      <c r="AT27" s="37">
        <f>ABS(MIN((AT9-AT8),0))</f>
        <v>8.7940268700080742E-6</v>
      </c>
      <c r="AU27" s="37">
        <f>ABS(MIN((AU9-AU8),0))</f>
        <v>4.7431009440814008E-4</v>
      </c>
      <c r="AV27" s="37">
        <f>ABS(MIN((AV9-AV8),0))</f>
        <v>1.0524464415395977E-4</v>
      </c>
      <c r="AW27" s="37">
        <f>ABS(MIN((AW9-AW8),0))</f>
        <v>2.5531045751640401E-6</v>
      </c>
      <c r="AX27" s="37">
        <f>ABS(MIN((AX9-AX8),0))</f>
        <v>0</v>
      </c>
      <c r="AY27" s="37">
        <f>ABS(MIN((AY9-AY8),0))</f>
        <v>0</v>
      </c>
      <c r="AZ27" s="37">
        <f>ABS(MIN((AZ9-AZ8),0))</f>
        <v>6.4962327523610018E-5</v>
      </c>
      <c r="BA27" s="37">
        <f>ABS(MIN((BA9-BA8),0))</f>
        <v>0</v>
      </c>
      <c r="BB27" s="37">
        <f>ABS(MIN((BB9-BB8),0))</f>
        <v>0</v>
      </c>
      <c r="BC27" s="37">
        <f>ABS(MIN((BC9-BC8),0))</f>
        <v>4.675018155411003E-4</v>
      </c>
      <c r="BD27" s="37">
        <f>ABS(MIN((BD9-BD8),0))</f>
        <v>7.6309458968772998E-5</v>
      </c>
      <c r="BE27" s="37">
        <f>ABS(MIN((BE9-BE8),0))</f>
        <v>0</v>
      </c>
      <c r="BF27" s="37">
        <f>ABS(MIN((BF9-BF8),0))</f>
        <v>0</v>
      </c>
      <c r="BG27" s="37">
        <f>ABS(MIN((BG9-BG8),0))</f>
        <v>0</v>
      </c>
      <c r="BH27" s="37">
        <f>ABS(MIN((BH9-BH8),0))</f>
        <v>6.6948075526506392E-5</v>
      </c>
      <c r="BI27" s="37">
        <f>ABS(MIN((BI9-BI8),0))</f>
        <v>0</v>
      </c>
      <c r="BJ27" s="37">
        <f>ABS(MIN((BJ9-BJ8),0))</f>
        <v>0</v>
      </c>
      <c r="BK27" s="37">
        <f>ABS(MIN((BK9-BK8),0))</f>
        <v>1.5517202251271031E-4</v>
      </c>
      <c r="BL27" s="37">
        <f>ABS(MIN((BL9-BL8),0))</f>
        <v>0</v>
      </c>
      <c r="BM27" s="37">
        <f>ABS(MIN((BM9-BM8),0))</f>
        <v>7.9713598402329994E-5</v>
      </c>
      <c r="BN27" s="37">
        <f>ABS(MIN((BN9-BN8),0))</f>
        <v>3.0155001815540994E-4</v>
      </c>
      <c r="BO27" s="37">
        <f>ABS(MIN((BO9-BO8),0))</f>
        <v>7.0834468046478008E-4</v>
      </c>
      <c r="BP27" s="37">
        <f>ABS(MIN((BP9-BP8),0))</f>
        <v>0</v>
      </c>
      <c r="BQ27" s="37">
        <f>ABS(MIN((BQ9-BQ8),0))</f>
        <v>4.082130537400204E-4</v>
      </c>
      <c r="BR27" s="37">
        <f>ABS(MIN((BR9-BR8),0))</f>
        <v>8.0507897603486023E-4</v>
      </c>
      <c r="BS27" s="37">
        <f>ABS(MIN((BS9-BS8),0))</f>
        <v>0</v>
      </c>
      <c r="BT27" s="37">
        <f>ABS(MIN((BT9-BT8),0))</f>
        <v>1.3077568990559201E-4</v>
      </c>
      <c r="BU27" s="37">
        <f>ABS(MIN((BU9-BU8),0))</f>
        <v>0</v>
      </c>
      <c r="BV27" s="37">
        <f>ABS(MIN((BV9-BV8),0))</f>
        <v>0</v>
      </c>
      <c r="BW27" s="37">
        <f>ABS(MIN((BW9-BW8),0))</f>
        <v>8.5103485838780015E-5</v>
      </c>
      <c r="BX27" s="37">
        <f>ABS(MIN((BX9-BX8),0))</f>
        <v>3.1204611474202823E-6</v>
      </c>
      <c r="BY27" s="37">
        <f>ABS(MIN((BY9-BY8),0))</f>
        <v>8.7089233841691066E-5</v>
      </c>
      <c r="BZ27" s="37">
        <f>ABS(MIN((BZ9-BZ8),0))</f>
        <v>2.7687000726217027E-4</v>
      </c>
      <c r="CA27" s="37">
        <f>ABS(MIN((CA9-CA8),0))</f>
        <v>2.9389070442991999E-4</v>
      </c>
      <c r="CB27" s="37">
        <f>ABS(MIN((CB9-CB8),0))</f>
        <v>1.7276007625272993E-4</v>
      </c>
      <c r="CC27" s="37">
        <f>ABS(MIN((CC9-CC8),0))</f>
        <v>4.6806917211329009E-5</v>
      </c>
      <c r="CD27" s="37">
        <f>ABS(MIN((CD9-CD8),0))</f>
        <v>0</v>
      </c>
      <c r="CE27" s="37">
        <f>ABS(MIN((CE9-CE8),0))</f>
        <v>8.4536129266520087E-5</v>
      </c>
      <c r="CF27" s="37">
        <f>ABS(MIN((CF9-CF8),0))</f>
        <v>0</v>
      </c>
      <c r="CG27" s="37">
        <f>ABS(MIN((CG9-CG8),0))</f>
        <v>1.4751270878721971E-4</v>
      </c>
      <c r="CH27" s="37">
        <f>ABS(MIN((CH9-CH8),0))</f>
        <v>6.5529684095861056E-5</v>
      </c>
      <c r="CI27" s="37">
        <f>ABS(MIN((CI9-CI8),0))</f>
        <v>0</v>
      </c>
      <c r="CJ27" s="37">
        <f>ABS(MIN((CJ9-CJ8),0))</f>
        <v>0</v>
      </c>
      <c r="CK27" s="37">
        <f>ABS(MIN((CK9-CK8),0))</f>
        <v>3.1034404502541975E-4</v>
      </c>
      <c r="CL27" s="37">
        <f>ABS(MIN((CL9-CL8),0))</f>
        <v>1.9148284313724988E-4</v>
      </c>
      <c r="CM27" s="37">
        <f>ABS(MIN((CM9-CM8),0))</f>
        <v>1.6144131263617009E-3</v>
      </c>
      <c r="CN27" s="37">
        <f>ABS(MIN((CN9-CN8),0))</f>
        <v>0</v>
      </c>
      <c r="CO27" s="37">
        <f>ABS(MIN((CO9-CO8),0))</f>
        <v>0</v>
      </c>
      <c r="CP27" s="37">
        <f>ABS(MIN((CP9-CP8),0))</f>
        <v>0</v>
      </c>
      <c r="CQ27" s="37">
        <f>ABS(MIN((CQ9-CQ8),0))</f>
        <v>5.0324527959329929E-4</v>
      </c>
      <c r="CR27" s="37">
        <f>ABS(MIN((CR9-CR8),0))</f>
        <v>0</v>
      </c>
      <c r="CS27" s="37">
        <f>ABS(MIN((CS9-CS8),0))</f>
        <v>0</v>
      </c>
      <c r="CT27" s="37">
        <f>ABS(MIN((CT9-CT8),0))</f>
        <v>0</v>
      </c>
      <c r="CU27" s="37">
        <f>ABS(MIN((CU9-CU8),0))</f>
        <v>1.2064837509077699E-3</v>
      </c>
      <c r="CV27" s="37">
        <f>ABS(MIN((CV9-CV8),0))</f>
        <v>1.4042075163399012E-4</v>
      </c>
      <c r="CW27" s="37">
        <f>ABS(MIN((CW9-CW8),0))</f>
        <v>1.1148556644880207E-4</v>
      </c>
      <c r="CX27" s="37">
        <f>ABS(MIN((CX9-CX8),0))</f>
        <v>0</v>
      </c>
      <c r="CY27" s="37">
        <f>ABS(MIN((CY9-CY8),0))</f>
        <v>6.5671523238925019E-4</v>
      </c>
      <c r="CZ27" s="37">
        <f>ABS(MIN((CZ9-CZ8),0))</f>
        <v>1.9800744371822995E-4</v>
      </c>
      <c r="DA27" s="37">
        <f>ABS(MIN((DA9-DA8),0))</f>
        <v>0</v>
      </c>
      <c r="DB27" s="37">
        <f>ABS(MIN((DB9-DB8),0))</f>
        <v>1.3247775962236695E-4</v>
      </c>
      <c r="DC27" s="37">
        <f>ABS(MIN((DC9-DC8),0))</f>
        <v>4.6806917211329009E-5</v>
      </c>
      <c r="DD27" s="37">
        <f>ABS(MIN((DD9-DD8),0))</f>
        <v>0</v>
      </c>
      <c r="DE27" s="37">
        <f>ABS(MIN((DE9-DE8),0))</f>
        <v>0</v>
      </c>
      <c r="DF27" s="37">
        <f>ABS(MIN((DF9-DF8),0))</f>
        <v>0</v>
      </c>
      <c r="DG27" s="37">
        <f>ABS(MIN((DG9-DG8),0))</f>
        <v>0</v>
      </c>
      <c r="DH27" s="37">
        <f>ABS(MIN((DH9-DH8),0))</f>
        <v>9.7585330428464072E-5</v>
      </c>
      <c r="DI27" s="37">
        <f>ABS(MIN((DI9-DI8),0))</f>
        <v>0</v>
      </c>
      <c r="DJ27" s="37">
        <f>ABS(MIN((DJ9-DJ8),0))</f>
        <v>1.5128562999273789E-3</v>
      </c>
      <c r="DK27" s="37">
        <f>ABS(MIN((DK9-DK8),0))</f>
        <v>0</v>
      </c>
      <c r="DL27" s="37">
        <f>ABS(MIN((DL9-DL8),0))</f>
        <v>0</v>
      </c>
      <c r="DM27" s="37">
        <f>ABS(MIN((DM9-DM8),0))</f>
        <v>0</v>
      </c>
      <c r="DN27" s="37">
        <f>ABS(MIN((DN9-DN8),0))</f>
        <v>0</v>
      </c>
      <c r="DO27" s="37">
        <f>ABS(MIN((DO9-DO8),0))</f>
        <v>1.4325753449527897E-4</v>
      </c>
      <c r="DP27" s="37">
        <f>ABS(MIN((DP9-DP8),0))</f>
        <v>0</v>
      </c>
      <c r="DQ27" s="37">
        <f>ABS(MIN((DQ9-DQ8),0))</f>
        <v>1.59001679375454E-3</v>
      </c>
      <c r="DR27" s="37">
        <f>ABS(MIN((DR9-DR8),0))</f>
        <v>0</v>
      </c>
      <c r="DS27" s="37">
        <f>ABS(MIN((DS9-DS8),0))</f>
        <v>0</v>
      </c>
    </row>
    <row r="28" spans="1:123">
      <c r="B28" s="37">
        <f>ABS(MIN((B10-B9),0))</f>
        <v>0</v>
      </c>
      <c r="C28" s="37">
        <f>ABS(MIN((C10-C9),0))</f>
        <v>0</v>
      </c>
      <c r="D28" s="37">
        <f>ABS(MIN((D10-D9),0))</f>
        <v>0</v>
      </c>
      <c r="E28" s="37">
        <f>ABS(MIN((E10-E9),0))</f>
        <v>0</v>
      </c>
      <c r="F28" s="37">
        <f>ABS(MIN((F10-F9),0))</f>
        <v>0</v>
      </c>
      <c r="G28" s="37">
        <f>ABS(MIN((G10-G9),0))</f>
        <v>0</v>
      </c>
      <c r="H28" s="37">
        <f>ABS(MIN((H10-H9),0))</f>
        <v>0</v>
      </c>
      <c r="I28" s="37">
        <f>ABS(MIN((I10-I9),0))</f>
        <v>0</v>
      </c>
      <c r="J28" s="37">
        <f>ABS(MIN((J10-J9),0))</f>
        <v>3.5062368938460983E-5</v>
      </c>
      <c r="K28" s="37">
        <f>ABS(MIN((K10-K9),0))</f>
        <v>1.3271116580715987E-4</v>
      </c>
      <c r="L28" s="37">
        <f>ABS(MIN((L10-L9),0))</f>
        <v>0</v>
      </c>
      <c r="M28" s="37">
        <f>ABS(MIN((M10-M9),0))</f>
        <v>0</v>
      </c>
      <c r="N28" s="37">
        <f>ABS(MIN((N10-N9),0))</f>
        <v>0</v>
      </c>
      <c r="O28" s="37">
        <f>ABS(MIN((O10-O9),0))</f>
        <v>0</v>
      </c>
      <c r="P28" s="37">
        <f>ABS(MIN((P10-P9),0))</f>
        <v>1.9368345844373008E-4</v>
      </c>
      <c r="Q28" s="37">
        <f>ABS(MIN((Q10-Q9),0))</f>
        <v>0</v>
      </c>
      <c r="R28" s="37">
        <f>ABS(MIN((R10-R9),0))</f>
        <v>0</v>
      </c>
      <c r="S28" s="37">
        <f>ABS(MIN((S10-S9),0))</f>
        <v>2.2252210783298013E-4</v>
      </c>
      <c r="T28" s="37">
        <f>ABS(MIN((T10-T9),0))</f>
        <v>0</v>
      </c>
      <c r="U28" s="37">
        <f>ABS(MIN((U10-U9),0))</f>
        <v>9.764879686869005E-5</v>
      </c>
      <c r="V28" s="37">
        <f>ABS(MIN((V10-V9),0))</f>
        <v>7.6162058161340952E-4</v>
      </c>
      <c r="W28" s="37">
        <f>ABS(MIN((W10-W9),0))</f>
        <v>1.0237479193696698E-4</v>
      </c>
      <c r="X28" s="37">
        <f>ABS(MIN((X10-X9),0))</f>
        <v>0</v>
      </c>
      <c r="Y28" s="37">
        <f>ABS(MIN((Y10-Y9),0))</f>
        <v>2.6209468594290018E-5</v>
      </c>
      <c r="Z28" s="37">
        <f>ABS(MIN((Z10-Z9),0))</f>
        <v>0</v>
      </c>
      <c r="AA28" s="37">
        <f>ABS(MIN((AA10-AA9),0))</f>
        <v>3.0336373870189963E-5</v>
      </c>
      <c r="AB28" s="37">
        <f>ABS(MIN((AB10-AB9),0))</f>
        <v>2.3287273265807989E-4</v>
      </c>
      <c r="AC28" s="37">
        <f>ABS(MIN((AC10-AC9),0))</f>
        <v>0</v>
      </c>
      <c r="AD28" s="37">
        <f>ABS(MIN((AD10-AD9),0))</f>
        <v>0</v>
      </c>
      <c r="AE28" s="37">
        <f>ABS(MIN((AE10-AE9),0))</f>
        <v>0</v>
      </c>
      <c r="AF28" s="37">
        <f>ABS(MIN((AF10-AF9),0))</f>
        <v>2.2798063923510021E-5</v>
      </c>
      <c r="AG28" s="37">
        <f>ABS(MIN((AG10-AG9),0))</f>
        <v>0</v>
      </c>
      <c r="AH28" s="37">
        <f>ABS(MIN((AH10-AH9),0))</f>
        <v>4.534144370304939E-4</v>
      </c>
      <c r="AI28" s="37">
        <f>ABS(MIN((AI10-AI9),0))</f>
        <v>8.1768374509825006E-4</v>
      </c>
      <c r="AJ28" s="37">
        <f>ABS(MIN((AJ10-AJ9),0))</f>
        <v>1.338294194314511E-3</v>
      </c>
      <c r="AK28" s="37">
        <f>ABS(MIN((AK10-AK9),0))</f>
        <v>3.9580386152269966E-4</v>
      </c>
      <c r="AL28" s="37">
        <f>ABS(MIN((AL10-AL9),0))</f>
        <v>2.5548766249813609E-4</v>
      </c>
      <c r="AM28" s="37">
        <f>ABS(MIN((AM10-AM9),0))</f>
        <v>5.5394227204833002E-4</v>
      </c>
      <c r="AN28" s="37">
        <f>ABS(MIN((AN10-AN9),0))</f>
        <v>0</v>
      </c>
      <c r="AO28" s="37">
        <f>ABS(MIN((AO10-AO9),0))</f>
        <v>0</v>
      </c>
      <c r="AP28" s="37">
        <f>ABS(MIN((AP10-AP9),0))</f>
        <v>0</v>
      </c>
      <c r="AQ28" s="37">
        <f>ABS(MIN((AQ10-AQ9),0))</f>
        <v>0</v>
      </c>
      <c r="AR28" s="37">
        <f>ABS(MIN((AR10-AR9),0))</f>
        <v>0</v>
      </c>
      <c r="AS28" s="37">
        <f>ABS(MIN((AS10-AS9),0))</f>
        <v>4.2960132760568699E-4</v>
      </c>
      <c r="AT28" s="37">
        <f>ABS(MIN((AT10-AT9),0))</f>
        <v>0</v>
      </c>
      <c r="AU28" s="37">
        <f>ABS(MIN((AU10-AU9),0))</f>
        <v>0</v>
      </c>
      <c r="AV28" s="37">
        <f>ABS(MIN((AV10-AV9),0))</f>
        <v>3.2711012485598994E-4</v>
      </c>
      <c r="AW28" s="37">
        <f>ABS(MIN((AW10-AW9),0))</f>
        <v>0</v>
      </c>
      <c r="AX28" s="37">
        <f>ABS(MIN((AX10-AX9),0))</f>
        <v>0</v>
      </c>
      <c r="AY28" s="37">
        <f>ABS(MIN((AY10-AY9),0))</f>
        <v>0</v>
      </c>
      <c r="AZ28" s="37">
        <f>ABS(MIN((AZ10-AZ9),0))</f>
        <v>0</v>
      </c>
      <c r="BA28" s="37">
        <f>ABS(MIN((BA10-BA9),0))</f>
        <v>0</v>
      </c>
      <c r="BB28" s="37">
        <f>ABS(MIN((BB10-BB9),0))</f>
        <v>6.4799653016277975E-5</v>
      </c>
      <c r="BC28" s="37">
        <f>ABS(MIN((BC10-BC9),0))</f>
        <v>0</v>
      </c>
      <c r="BD28" s="37">
        <f>ABS(MIN((BD10-BD9),0))</f>
        <v>2.1599884338759009E-5</v>
      </c>
      <c r="BE28" s="37">
        <f>ABS(MIN((BE10-BE9),0))</f>
        <v>2.3699963793397984E-4</v>
      </c>
      <c r="BF28" s="37">
        <f>ABS(MIN((BF10-BF9),0))</f>
        <v>1.1924868120745998E-4</v>
      </c>
      <c r="BG28" s="37">
        <f>ABS(MIN((BG10-BG9),0))</f>
        <v>6.6896467289590152E-5</v>
      </c>
      <c r="BH28" s="37">
        <f>ABS(MIN((BH10-BH9),0))</f>
        <v>0</v>
      </c>
      <c r="BI28" s="37">
        <f>ABS(MIN((BI10-BI9),0))</f>
        <v>2.4295788404439956E-5</v>
      </c>
      <c r="BJ28" s="37">
        <f>ABS(MIN((BJ10-BJ9),0))</f>
        <v>6.1825924608496004E-4</v>
      </c>
      <c r="BK28" s="37">
        <f>ABS(MIN((BK10-BK9),0))</f>
        <v>2.4190876708569996E-4</v>
      </c>
      <c r="BL28" s="37">
        <f>ABS(MIN((BL10-BL9),0))</f>
        <v>4.534144370304939E-4</v>
      </c>
      <c r="BM28" s="37">
        <f>ABS(MIN((BM10-BM9),0))</f>
        <v>0</v>
      </c>
      <c r="BN28" s="37">
        <f>ABS(MIN((BN10-BN9),0))</f>
        <v>1.5933659011037001E-4</v>
      </c>
      <c r="BO28" s="37">
        <f>ABS(MIN((BO10-BO9),0))</f>
        <v>3.3273475461282004E-4</v>
      </c>
      <c r="BP28" s="37">
        <f>ABS(MIN((BP10-BP9),0))</f>
        <v>4.3020041739807004E-4</v>
      </c>
      <c r="BQ28" s="37">
        <f>ABS(MIN((BQ10-BQ9),0))</f>
        <v>0</v>
      </c>
      <c r="BR28" s="37">
        <f>ABS(MIN((BR10-BR9),0))</f>
        <v>0</v>
      </c>
      <c r="BS28" s="37">
        <f>ABS(MIN((BS10-BS9),0))</f>
        <v>2.045167622484606E-4</v>
      </c>
      <c r="BT28" s="37">
        <f>ABS(MIN((BT10-BT9),0))</f>
        <v>0</v>
      </c>
      <c r="BU28" s="37">
        <f>ABS(MIN((BU10-BU9),0))</f>
        <v>2.2799483567603057E-6</v>
      </c>
      <c r="BV28" s="37">
        <f>ABS(MIN((BV10-BV9),0))</f>
        <v>0</v>
      </c>
      <c r="BW28" s="37">
        <f>ABS(MIN((BW10-BW9),0))</f>
        <v>0</v>
      </c>
      <c r="BX28" s="37">
        <f>ABS(MIN((BX10-BX9),0))</f>
        <v>6.6888091389643006E-4</v>
      </c>
      <c r="BY28" s="37">
        <f>ABS(MIN((BY10-BY9),0))</f>
        <v>0</v>
      </c>
      <c r="BZ28" s="37">
        <f>ABS(MIN((BZ10-BZ9),0))</f>
        <v>0</v>
      </c>
      <c r="CA28" s="37">
        <f>ABS(MIN((CA10-CA9),0))</f>
        <v>0</v>
      </c>
      <c r="CB28" s="37">
        <f>ABS(MIN((CB10-CB9),0))</f>
        <v>0</v>
      </c>
      <c r="CC28" s="37">
        <f>ABS(MIN((CC10-CC9),0))</f>
        <v>0</v>
      </c>
      <c r="CD28" s="37">
        <f>ABS(MIN((CD10-CD9),0))</f>
        <v>0</v>
      </c>
      <c r="CE28" s="37">
        <f>ABS(MIN((CE10-CE9),0))</f>
        <v>0</v>
      </c>
      <c r="CF28" s="37">
        <f>ABS(MIN((CF10-CF9),0))</f>
        <v>3.0873851110456896E-4</v>
      </c>
      <c r="CG28" s="37">
        <f>ABS(MIN((CG10-CG9),0))</f>
        <v>0</v>
      </c>
      <c r="CH28" s="37">
        <f>ABS(MIN((CH10-CH9),0))</f>
        <v>0</v>
      </c>
      <c r="CI28" s="37">
        <f>ABS(MIN((CI10-CI9),0))</f>
        <v>4.3499313573704991E-4</v>
      </c>
      <c r="CJ28" s="37">
        <f>ABS(MIN((CJ10-CJ9),0))</f>
        <v>0</v>
      </c>
      <c r="CK28" s="37">
        <f>ABS(MIN((CK10-CK9),0))</f>
        <v>0</v>
      </c>
      <c r="CL28" s="37">
        <f>ABS(MIN((CL10-CL9),0))</f>
        <v>0</v>
      </c>
      <c r="CM28" s="37">
        <f>ABS(MIN((CM10-CM9),0))</f>
        <v>0</v>
      </c>
      <c r="CN28" s="37">
        <f>ABS(MIN((CN10-CN9),0))</f>
        <v>9.4120981385179773E-5</v>
      </c>
      <c r="CO28" s="37">
        <f>ABS(MIN((CO10-CO9),0))</f>
        <v>6.5931251294714874E-4</v>
      </c>
      <c r="CP28" s="37">
        <f>ABS(MIN((CP10-CP9),0))</f>
        <v>0</v>
      </c>
      <c r="CQ28" s="37">
        <f>ABS(MIN((CQ10-CQ9),0))</f>
        <v>0</v>
      </c>
      <c r="CR28" s="37">
        <f>ABS(MIN((CR10-CR9),0))</f>
        <v>0</v>
      </c>
      <c r="CS28" s="37">
        <f>ABS(MIN((CS10-CS9),0))</f>
        <v>6.5373757073234999E-4</v>
      </c>
      <c r="CT28" s="37">
        <f>ABS(MIN((CT10-CT9),0))</f>
        <v>9.1608211402940259E-5</v>
      </c>
      <c r="CU28" s="37">
        <f>ABS(MIN((CU10-CU9),0))</f>
        <v>0</v>
      </c>
      <c r="CV28" s="37">
        <f>ABS(MIN((CV10-CV9),0))</f>
        <v>2.5310833905730018E-5</v>
      </c>
      <c r="CW28" s="37">
        <f>ABS(MIN((CW10-CW9),0))</f>
        <v>1.8003783976057295E-4</v>
      </c>
      <c r="CX28" s="37">
        <f>ABS(MIN((CX10-CX9),0))</f>
        <v>8.203796491639409E-4</v>
      </c>
      <c r="CY28" s="37">
        <f>ABS(MIN((CY10-CY9),0))</f>
        <v>1.3346073786970041E-5</v>
      </c>
      <c r="CZ28" s="37">
        <f>ABS(MIN((CZ10-CZ9),0))</f>
        <v>0</v>
      </c>
      <c r="DA28" s="37">
        <f>ABS(MIN((DA10-DA9),0))</f>
        <v>6.7312422998505996E-5</v>
      </c>
      <c r="DB28" s="37">
        <f>ABS(MIN((DB10-DB9),0))</f>
        <v>4.3499313573704991E-5</v>
      </c>
      <c r="DC28" s="37">
        <f>ABS(MIN((DC10-DC9),0))</f>
        <v>0</v>
      </c>
      <c r="DD28" s="37">
        <f>ABS(MIN((DD10-DD9),0))</f>
        <v>4.5363306221539966E-5</v>
      </c>
      <c r="DE28" s="37">
        <f>ABS(MIN((DE10-DE9),0))</f>
        <v>1.3552348068557015E-4</v>
      </c>
      <c r="DF28" s="37">
        <f>ABS(MIN((DF10-DF9),0))</f>
        <v>4.4397948262269978E-5</v>
      </c>
      <c r="DG28" s="37">
        <f>ABS(MIN((DG10-DG9),0))</f>
        <v>0</v>
      </c>
      <c r="DH28" s="37">
        <f>ABS(MIN((DH10-DH9),0))</f>
        <v>1.1081173657221202E-4</v>
      </c>
      <c r="DI28" s="37">
        <f>ABS(MIN((DI10-DI9),0))</f>
        <v>1.7692597998597153E-4</v>
      </c>
      <c r="DJ28" s="37">
        <f>ABS(MIN((DJ10-DJ9),0))</f>
        <v>0</v>
      </c>
      <c r="DK28" s="37">
        <f>ABS(MIN((DK10-DK9),0))</f>
        <v>0</v>
      </c>
      <c r="DL28" s="37">
        <f>ABS(MIN((DL10-DL9),0))</f>
        <v>0</v>
      </c>
      <c r="DM28" s="37">
        <f>ABS(MIN((DM10-DM9),0))</f>
        <v>5.9474568155635013E-5</v>
      </c>
      <c r="DN28" s="37">
        <f>ABS(MIN((DN10-DN9),0))</f>
        <v>5.6141385872429E-4</v>
      </c>
      <c r="DO28" s="37">
        <f>ABS(MIN((DO10-DO9),0))</f>
        <v>0</v>
      </c>
      <c r="DP28" s="37">
        <f>ABS(MIN((DP10-DP9),0))</f>
        <v>1.5742290992051995E-4</v>
      </c>
      <c r="DQ28" s="37">
        <f>ABS(MIN((DQ10-DQ9),0))</f>
        <v>0</v>
      </c>
      <c r="DR28" s="37">
        <f>ABS(MIN((DR10-DR9),0))</f>
        <v>5.1021013684909855E-4</v>
      </c>
      <c r="DS28" s="37">
        <f>ABS(MIN((DS10-DS9),0))</f>
        <v>0</v>
      </c>
    </row>
    <row r="29" spans="1:123">
      <c r="B29" s="37">
        <f>ABS(MIN((B11-B10),0))</f>
        <v>3.4007907529718003E-4</v>
      </c>
      <c r="C29" s="37">
        <f>ABS(MIN((C11-C10),0))</f>
        <v>8.9272790258548016E-4</v>
      </c>
      <c r="D29" s="37">
        <f>ABS(MIN((D11-D10),0))</f>
        <v>4.7913579905570994E-4</v>
      </c>
      <c r="E29" s="37">
        <f>ABS(MIN((E11-E10),0))</f>
        <v>7.5724924657278019E-4</v>
      </c>
      <c r="F29" s="37">
        <f>ABS(MIN((F11-F10),0))</f>
        <v>6.0827151679171019E-5</v>
      </c>
      <c r="G29" s="37">
        <f>ABS(MIN((G11-G10),0))</f>
        <v>0</v>
      </c>
      <c r="H29" s="37">
        <f>ABS(MIN((H11-H10),0))</f>
        <v>2.7502329810020999E-4</v>
      </c>
      <c r="I29" s="37">
        <f>ABS(MIN((I11-I10),0))</f>
        <v>1.2201211013291996E-3</v>
      </c>
      <c r="J29" s="37">
        <f>ABS(MIN((J11-J10),0))</f>
        <v>0</v>
      </c>
      <c r="K29" s="37">
        <f>ABS(MIN((K11-K10),0))</f>
        <v>0</v>
      </c>
      <c r="L29" s="37">
        <f>ABS(MIN((L11-L10),0))</f>
        <v>3.3975379641119799E-4</v>
      </c>
      <c r="M29" s="37">
        <f>ABS(MIN((M11-M10),0))</f>
        <v>2.1224447310513005E-4</v>
      </c>
      <c r="N29" s="37">
        <f>ABS(MIN((N11-N10),0))</f>
        <v>0</v>
      </c>
      <c r="O29" s="37">
        <f>ABS(MIN((O11-O10),0))</f>
        <v>1.4735133535115005E-4</v>
      </c>
      <c r="P29" s="37">
        <f>ABS(MIN((P11-P10),0))</f>
        <v>3.3763948365228991E-4</v>
      </c>
      <c r="Q29" s="37">
        <f>ABS(MIN((Q11-Q10),0))</f>
        <v>0</v>
      </c>
      <c r="R29" s="37">
        <f>ABS(MIN((R11-R10),0))</f>
        <v>1.4539966203523799E-4</v>
      </c>
      <c r="S29" s="37">
        <f>ABS(MIN((S11-S10),0))</f>
        <v>0</v>
      </c>
      <c r="T29" s="37">
        <f>ABS(MIN((T11-T10),0))</f>
        <v>4.0659860748108604E-4</v>
      </c>
      <c r="U29" s="37">
        <f>ABS(MIN((U11-U10),0))</f>
        <v>3.1454468274736997E-4</v>
      </c>
      <c r="V29" s="37">
        <f>ABS(MIN((V11-V10),0))</f>
        <v>0</v>
      </c>
      <c r="W29" s="37">
        <f>ABS(MIN((W11-W10),0))</f>
        <v>0</v>
      </c>
      <c r="X29" s="37">
        <f>ABS(MIN((X11-X10),0))</f>
        <v>6.8015815059437002E-4</v>
      </c>
      <c r="Y29" s="37">
        <f>ABS(MIN((Y11-Y10),0))</f>
        <v>3.8984674485287004E-4</v>
      </c>
      <c r="Z29" s="37">
        <f>ABS(MIN((Z11-Z10),0))</f>
        <v>6.1282542119550035E-4</v>
      </c>
      <c r="AA29" s="37">
        <f>ABS(MIN((AA11-AA10),0))</f>
        <v>1.4865245089508709E-4</v>
      </c>
      <c r="AB29" s="37">
        <f>ABS(MIN((AB11-AB10),0))</f>
        <v>1.9972123599471025E-4</v>
      </c>
      <c r="AC29" s="37">
        <f>ABS(MIN((AC11-AC10),0))</f>
        <v>0</v>
      </c>
      <c r="AD29" s="37">
        <f>ABS(MIN((AD11-AD10),0))</f>
        <v>0</v>
      </c>
      <c r="AE29" s="37">
        <f>ABS(MIN((AE11-AE10),0))</f>
        <v>7.0422878815719955E-5</v>
      </c>
      <c r="AF29" s="37">
        <f>ABS(MIN((AF11-AF10),0))</f>
        <v>0</v>
      </c>
      <c r="AG29" s="37">
        <f>ABS(MIN((AG11-AG10),0))</f>
        <v>2.7908928417501983E-4</v>
      </c>
      <c r="AH29" s="37">
        <f>ABS(MIN((AH11-AH10),0))</f>
        <v>0</v>
      </c>
      <c r="AI29" s="37">
        <f>ABS(MIN((AI11-AI10),0))</f>
        <v>0</v>
      </c>
      <c r="AJ29" s="37">
        <f>ABS(MIN((AJ11-AJ10),0))</f>
        <v>1.8492104668239862E-4</v>
      </c>
      <c r="AK29" s="37">
        <f>ABS(MIN((AK11-AK10),0))</f>
        <v>7.7741653750380314E-5</v>
      </c>
      <c r="AL29" s="37">
        <f>ABS(MIN((AL11-AL10),0))</f>
        <v>2.6266270043278294E-4</v>
      </c>
      <c r="AM29" s="37">
        <f>ABS(MIN((AM11-AM10),0))</f>
        <v>0</v>
      </c>
      <c r="AN29" s="37">
        <f>ABS(MIN((AN11-AN10),0))</f>
        <v>4.5734211369473062E-4</v>
      </c>
      <c r="AO29" s="37">
        <f>ABS(MIN((AO11-AO10),0))</f>
        <v>2.6689132595058608E-4</v>
      </c>
      <c r="AP29" s="37">
        <f>ABS(MIN((AP11-AP10),0))</f>
        <v>4.8677985287635993E-4</v>
      </c>
      <c r="AQ29" s="37">
        <f>ABS(MIN((AQ11-AQ10),0))</f>
        <v>0</v>
      </c>
      <c r="AR29" s="37">
        <f>ABS(MIN((AR11-AR10),0))</f>
        <v>1.6507903463731997E-4</v>
      </c>
      <c r="AS29" s="37">
        <f>ABS(MIN((AS11-AS10),0))</f>
        <v>0</v>
      </c>
      <c r="AT29" s="37">
        <f>ABS(MIN((AT11-AT10),0))</f>
        <v>1.9630580769187001E-4</v>
      </c>
      <c r="AU29" s="37">
        <f>ABS(MIN((AU11-AU10),0))</f>
        <v>0</v>
      </c>
      <c r="AV29" s="37">
        <f>ABS(MIN((AV11-AV10),0))</f>
        <v>3.805762966023001E-4</v>
      </c>
      <c r="AW29" s="37">
        <f>ABS(MIN((AW11-AW10),0))</f>
        <v>3.0706326836971002E-4</v>
      </c>
      <c r="AX29" s="37">
        <f>ABS(MIN((AX11-AX10),0))</f>
        <v>1.0799259014697697E-4</v>
      </c>
      <c r="AY29" s="37">
        <f>ABS(MIN((AY11-AY10),0))</f>
        <v>0</v>
      </c>
      <c r="AZ29" s="37">
        <f>ABS(MIN((AZ11-AZ10),0))</f>
        <v>3.2723055930078014E-4</v>
      </c>
      <c r="BA29" s="37">
        <f>ABS(MIN((BA11-BA10),0))</f>
        <v>4.0659860748108604E-5</v>
      </c>
      <c r="BB29" s="37">
        <f>ABS(MIN((BB11-BB10),0))</f>
        <v>8.180763982519498E-5</v>
      </c>
      <c r="BC29" s="37">
        <f>ABS(MIN((BC11-BC10),0))</f>
        <v>0</v>
      </c>
      <c r="BD29" s="37">
        <f>ABS(MIN((BD11-BD10),0))</f>
        <v>0</v>
      </c>
      <c r="BE29" s="37">
        <f>ABS(MIN((BE11-BE10),0))</f>
        <v>0</v>
      </c>
      <c r="BF29" s="37">
        <f>ABS(MIN((BF11-BF10),0))</f>
        <v>0</v>
      </c>
      <c r="BG29" s="37">
        <f>ABS(MIN((BG11-BG10),0))</f>
        <v>0</v>
      </c>
      <c r="BH29" s="37">
        <f>ABS(MIN((BH11-BH10),0))</f>
        <v>4.8791832897701398E-7</v>
      </c>
      <c r="BI29" s="37">
        <f>ABS(MIN((BI11-BI10),0))</f>
        <v>1.4182159428941009E-4</v>
      </c>
      <c r="BJ29" s="37">
        <f>ABS(MIN((BJ11-BJ10),0))</f>
        <v>0</v>
      </c>
      <c r="BK29" s="37">
        <f>ABS(MIN((BK11-BK10),0))</f>
        <v>0</v>
      </c>
      <c r="BL29" s="37">
        <f>ABS(MIN((BL11-BL10),0))</f>
        <v>0</v>
      </c>
      <c r="BM29" s="37">
        <f>ABS(MIN((BM11-BM10),0))</f>
        <v>0</v>
      </c>
      <c r="BN29" s="37">
        <f>ABS(MIN((BN11-BN10),0))</f>
        <v>0</v>
      </c>
      <c r="BO29" s="37">
        <f>ABS(MIN((BO11-BO10),0))</f>
        <v>0</v>
      </c>
      <c r="BP29" s="37">
        <f>ABS(MIN((BP11-BP10),0))</f>
        <v>1.7207253068599005E-4</v>
      </c>
      <c r="BQ29" s="37">
        <f>ABS(MIN((BQ11-BQ10),0))</f>
        <v>0</v>
      </c>
      <c r="BR29" s="37">
        <f>ABS(MIN((BR11-BR10),0))</f>
        <v>0</v>
      </c>
      <c r="BS29" s="37">
        <f>ABS(MIN((BS11-BS10),0))</f>
        <v>4.9767669555685935E-4</v>
      </c>
      <c r="BT29" s="37">
        <f>ABS(MIN((BT11-BT10),0))</f>
        <v>0</v>
      </c>
      <c r="BU29" s="37">
        <f>ABS(MIN((BU11-BU10),0))</f>
        <v>9.1712381903433964E-4</v>
      </c>
      <c r="BV29" s="37">
        <f>ABS(MIN((BV11-BV10),0))</f>
        <v>3.8464228267710593E-4</v>
      </c>
      <c r="BW29" s="37">
        <f>ABS(MIN((BW11-BW10),0))</f>
        <v>3.1828538993619615E-4</v>
      </c>
      <c r="BX29" s="37">
        <f>ABS(MIN((BX11-BX10),0))</f>
        <v>0</v>
      </c>
      <c r="BY29" s="37">
        <f>ABS(MIN((BY11-BY10),0))</f>
        <v>4.1814600793355083E-4</v>
      </c>
      <c r="BZ29" s="37">
        <f>ABS(MIN((BZ11-BZ10),0))</f>
        <v>0</v>
      </c>
      <c r="CA29" s="37">
        <f>ABS(MIN((CA11-CA10),0))</f>
        <v>0</v>
      </c>
      <c r="CB29" s="37">
        <f>ABS(MIN((CB11-CB10),0))</f>
        <v>3.5780677458329899E-5</v>
      </c>
      <c r="CC29" s="37">
        <f>ABS(MIN((CC11-CC10),0))</f>
        <v>5.2369900643563986E-5</v>
      </c>
      <c r="CD29" s="37">
        <f>ABS(MIN((CD11-CD10),0))</f>
        <v>2.7421010088525023E-4</v>
      </c>
      <c r="CE29" s="37">
        <f>ABS(MIN((CE11-CE10),0))</f>
        <v>0</v>
      </c>
      <c r="CF29" s="37">
        <f>ABS(MIN((CF11-CF10),0))</f>
        <v>1.9679372602085022E-5</v>
      </c>
      <c r="CG29" s="37">
        <f>ABS(MIN((CG11-CG10),0))</f>
        <v>6.2209586944607029E-4</v>
      </c>
      <c r="CH29" s="37">
        <f>ABS(MIN((CH11-CH10),0))</f>
        <v>5.708644449034495E-5</v>
      </c>
      <c r="CI29" s="37">
        <f>ABS(MIN((CI11-CI10),0))</f>
        <v>7.6212842986256042E-4</v>
      </c>
      <c r="CJ29" s="37">
        <f>ABS(MIN((CJ11-CJ10),0))</f>
        <v>0</v>
      </c>
      <c r="CK29" s="37">
        <f>ABS(MIN((CK11-CK10),0))</f>
        <v>0</v>
      </c>
      <c r="CL29" s="37">
        <f>ABS(MIN((CL11-CL10),0))</f>
        <v>0</v>
      </c>
      <c r="CM29" s="37">
        <f>ABS(MIN((CM11-CM10),0))</f>
        <v>1.0031600843772998E-3</v>
      </c>
      <c r="CN29" s="37">
        <f>ABS(MIN((CN11-CN10),0))</f>
        <v>0</v>
      </c>
      <c r="CO29" s="37">
        <f>ABS(MIN((CO11-CO10),0))</f>
        <v>2.1557858168647403E-3</v>
      </c>
      <c r="CP29" s="37">
        <f>ABS(MIN((CP11-CP10),0))</f>
        <v>2.5241641552425703E-4</v>
      </c>
      <c r="CQ29" s="37">
        <f>ABS(MIN((CQ11-CQ10),0))</f>
        <v>1.2043450753589022E-3</v>
      </c>
      <c r="CR29" s="37">
        <f>ABS(MIN((CR11-CR10),0))</f>
        <v>1.1710039895455003E-5</v>
      </c>
      <c r="CS29" s="37">
        <f>ABS(MIN((CS11-CS10),0))</f>
        <v>0</v>
      </c>
      <c r="CT29" s="37">
        <f>ABS(MIN((CT11-CT10),0))</f>
        <v>0</v>
      </c>
      <c r="CU29" s="37">
        <f>ABS(MIN((CU11-CU10),0))</f>
        <v>2.0134763042463019E-4</v>
      </c>
      <c r="CV29" s="37">
        <f>ABS(MIN((CV11-CV10),0))</f>
        <v>0</v>
      </c>
      <c r="CW29" s="37">
        <f>ABS(MIN((CW11-CW10),0))</f>
        <v>0</v>
      </c>
      <c r="CX29" s="37">
        <f>ABS(MIN((CX11-CX10),0))</f>
        <v>0</v>
      </c>
      <c r="CY29" s="37">
        <f>ABS(MIN((CY11-CY10),0))</f>
        <v>1.4133367596042001E-4</v>
      </c>
      <c r="CZ29" s="37">
        <f>ABS(MIN((CZ11-CZ10),0))</f>
        <v>1.4312270983333998E-4</v>
      </c>
      <c r="DA29" s="37">
        <f>ABS(MIN((DA11-DA10),0))</f>
        <v>0</v>
      </c>
      <c r="DB29" s="37">
        <f>ABS(MIN((DB11-DB10),0))</f>
        <v>0</v>
      </c>
      <c r="DC29" s="37">
        <f>ABS(MIN((DC11-DC10),0))</f>
        <v>4.7165438467799883E-6</v>
      </c>
      <c r="DD29" s="37">
        <f>ABS(MIN((DD11-DD10),0))</f>
        <v>2.6607812873562925E-4</v>
      </c>
      <c r="DE29" s="37">
        <f>ABS(MIN((DE11-DE10),0))</f>
        <v>1.7581323787483E-4</v>
      </c>
      <c r="DF29" s="37">
        <f>ABS(MIN((DF11-DF10),0))</f>
        <v>1.4637549869319006E-4</v>
      </c>
      <c r="DG29" s="37">
        <f>ABS(MIN((DG11-DG10),0))</f>
        <v>1.2815988107803982E-4</v>
      </c>
      <c r="DH29" s="37">
        <f>ABS(MIN((DH11-DH10),0))</f>
        <v>2.8835973242558803E-4</v>
      </c>
      <c r="DI29" s="37">
        <f>ABS(MIN((DI11-DI10),0))</f>
        <v>0</v>
      </c>
      <c r="DJ29" s="37">
        <f>ABS(MIN((DJ11-DJ10),0))</f>
        <v>6.0176593907201002E-4</v>
      </c>
      <c r="DK29" s="37">
        <f>ABS(MIN((DK11-DK10),0))</f>
        <v>2.9437739181630801E-5</v>
      </c>
      <c r="DL29" s="37">
        <f>ABS(MIN((DL11-DL10),0))</f>
        <v>4.3424731278979994E-4</v>
      </c>
      <c r="DM29" s="37">
        <f>ABS(MIN((DM11-DM10),0))</f>
        <v>1.8833647498524004E-4</v>
      </c>
      <c r="DN29" s="37">
        <f>ABS(MIN((DN11-DN10),0))</f>
        <v>3.610595634431996E-5</v>
      </c>
      <c r="DO29" s="37">
        <f>ABS(MIN((DO11-DO10),0))</f>
        <v>0</v>
      </c>
      <c r="DP29" s="37">
        <f>ABS(MIN((DP11-DP10),0))</f>
        <v>1.5109204253998003E-4</v>
      </c>
      <c r="DQ29" s="37">
        <f>ABS(MIN((DQ11-DQ10),0))</f>
        <v>3.4788576856082006E-4</v>
      </c>
      <c r="DR29" s="37">
        <f>ABS(MIN((DR11-DR10),0))</f>
        <v>0</v>
      </c>
      <c r="DS29" s="37">
        <f>ABS(MIN((DS11-DS10),0))</f>
        <v>4.1066459355590043E-4</v>
      </c>
    </row>
    <row r="30" spans="1:123">
      <c r="B30" s="37">
        <f>ABS(MIN((B12-B11),0))</f>
        <v>0</v>
      </c>
      <c r="C30" s="37">
        <f>ABS(MIN((C12-C11),0))</f>
        <v>0</v>
      </c>
      <c r="D30" s="37">
        <f>ABS(MIN((D12-D11),0))</f>
        <v>0</v>
      </c>
      <c r="E30" s="37">
        <f>ABS(MIN((E12-E11),0))</f>
        <v>0</v>
      </c>
      <c r="F30" s="37">
        <f>ABS(MIN((F12-F11),0))</f>
        <v>0</v>
      </c>
      <c r="G30" s="37">
        <f>ABS(MIN((G12-G11),0))</f>
        <v>1.5308250863233404E-3</v>
      </c>
      <c r="H30" s="37">
        <f>ABS(MIN((H12-H11),0))</f>
        <v>1.0703035203200005E-4</v>
      </c>
      <c r="I30" s="37">
        <f>ABS(MIN((I12-I11),0))</f>
        <v>0</v>
      </c>
      <c r="J30" s="37">
        <f>ABS(MIN((J12-J11),0))</f>
        <v>3.6155006679872972E-5</v>
      </c>
      <c r="K30" s="37">
        <f>ABS(MIN((K12-K11),0))</f>
        <v>3.4278611943601E-4</v>
      </c>
      <c r="L30" s="37">
        <f>ABS(MIN((L12-L11),0))</f>
        <v>0</v>
      </c>
      <c r="M30" s="37">
        <f>ABS(MIN((M12-M11),0))</f>
        <v>0</v>
      </c>
      <c r="N30" s="37">
        <f>ABS(MIN((N12-N11),0))</f>
        <v>1.1653897463556702E-3</v>
      </c>
      <c r="O30" s="37">
        <f>ABS(MIN((O12-O11),0))</f>
        <v>2.2983861992763007E-4</v>
      </c>
      <c r="P30" s="37">
        <f>ABS(MIN((P12-P11),0))</f>
        <v>2.5875507438730214E-5</v>
      </c>
      <c r="Q30" s="37">
        <f>ABS(MIN((Q12-Q11),0))</f>
        <v>3.7367953268130014E-4</v>
      </c>
      <c r="R30" s="37">
        <f>ABS(MIN((R12-R11),0))</f>
        <v>0</v>
      </c>
      <c r="S30" s="37">
        <f>ABS(MIN((S12-S11),0))</f>
        <v>2.9503707321136986E-4</v>
      </c>
      <c r="T30" s="37">
        <f>ABS(MIN((T12-T11),0))</f>
        <v>0</v>
      </c>
      <c r="U30" s="37">
        <f>ABS(MIN((U12-U11),0))</f>
        <v>0</v>
      </c>
      <c r="V30" s="37">
        <f>ABS(MIN((V12-V11),0))</f>
        <v>0</v>
      </c>
      <c r="W30" s="37">
        <f>ABS(MIN((W12-W11),0))</f>
        <v>3.0059383757578047E-5</v>
      </c>
      <c r="X30" s="37">
        <f>ABS(MIN((X12-X11),0))</f>
        <v>4.750879081667032E-5</v>
      </c>
      <c r="Y30" s="37">
        <f>ABS(MIN((Y12-Y11),0))</f>
        <v>4.2292502687556991E-4</v>
      </c>
      <c r="Z30" s="37">
        <f>ABS(MIN((Z12-Z11),0))</f>
        <v>0</v>
      </c>
      <c r="AA30" s="37">
        <f>ABS(MIN((AA12-AA11),0))</f>
        <v>0</v>
      </c>
      <c r="AB30" s="37">
        <f>ABS(MIN((AB12-AB11),0))</f>
        <v>2.8624715749970024E-5</v>
      </c>
      <c r="AC30" s="37">
        <f>ABS(MIN((AC12-AC11),0))</f>
        <v>8.6921660828660004E-4</v>
      </c>
      <c r="AD30" s="37">
        <f>ABS(MIN((AD12-AD11),0))</f>
        <v>1.1509606929968087E-4</v>
      </c>
      <c r="AE30" s="37">
        <f>ABS(MIN((AE12-AE11),0))</f>
        <v>3.2306458266151026E-4</v>
      </c>
      <c r="AF30" s="37">
        <f>ABS(MIN((AF12-AF11),0))</f>
        <v>3.1404127598205983E-4</v>
      </c>
      <c r="AG30" s="37">
        <f>ABS(MIN((AG12-AG11),0))</f>
        <v>1.6189095833266001E-4</v>
      </c>
      <c r="AH30" s="37">
        <f>ABS(MIN((AH12-AH11),0))</f>
        <v>2.6031673453910502E-4</v>
      </c>
      <c r="AI30" s="37">
        <f>ABS(MIN((AI12-AI11),0))</f>
        <v>9.8264118639081969E-4</v>
      </c>
      <c r="AJ30" s="37">
        <f>ABS(MIN((AJ12-AJ11),0))</f>
        <v>0</v>
      </c>
      <c r="AK30" s="37">
        <f>ABS(MIN((AK12-AK11),0))</f>
        <v>0</v>
      </c>
      <c r="AL30" s="37">
        <f>ABS(MIN((AL12-AL11),0))</f>
        <v>0</v>
      </c>
      <c r="AM30" s="37">
        <f>ABS(MIN((AM12-AM11),0))</f>
        <v>2.8798386087728993E-4</v>
      </c>
      <c r="AN30" s="37">
        <f>ABS(MIN((AN12-AN11),0))</f>
        <v>2.8720817913154961E-4</v>
      </c>
      <c r="AO30" s="37">
        <f>ABS(MIN((AO12-AO11),0))</f>
        <v>1.0105485681369698E-4</v>
      </c>
      <c r="AP30" s="37">
        <f>ABS(MIN((AP12-AP11),0))</f>
        <v>0</v>
      </c>
      <c r="AQ30" s="37">
        <f>ABS(MIN((AQ12-AQ11),0))</f>
        <v>4.3816408418130505E-4</v>
      </c>
      <c r="AR30" s="37">
        <f>ABS(MIN((AR12-AR11),0))</f>
        <v>3.2115283605807011E-4</v>
      </c>
      <c r="AS30" s="37">
        <f>ABS(MIN((AS12-AS11),0))</f>
        <v>3.2928033328779097E-4</v>
      </c>
      <c r="AT30" s="37">
        <f>ABS(MIN((AT12-AT11),0))</f>
        <v>0</v>
      </c>
      <c r="AU30" s="37">
        <f>ABS(MIN((AU12-AU11),0))</f>
        <v>0</v>
      </c>
      <c r="AV30" s="37">
        <f>ABS(MIN((AV12-AV11),0))</f>
        <v>0</v>
      </c>
      <c r="AW30" s="37">
        <f>ABS(MIN((AW12-AW11),0))</f>
        <v>0</v>
      </c>
      <c r="AX30" s="37">
        <f>ABS(MIN((AX12-AX11),0))</f>
        <v>8.5517196358050982E-5</v>
      </c>
      <c r="AY30" s="37">
        <f>ABS(MIN((AY12-AY11),0))</f>
        <v>3.0866298706356805E-4</v>
      </c>
      <c r="AZ30" s="37">
        <f>ABS(MIN((AZ12-AZ11),0))</f>
        <v>1.5681127256408E-4</v>
      </c>
      <c r="BA30" s="37">
        <f>ABS(MIN((BA12-BA11),0))</f>
        <v>0</v>
      </c>
      <c r="BB30" s="37">
        <f>ABS(MIN((BB12-BB11),0))</f>
        <v>0</v>
      </c>
      <c r="BC30" s="37">
        <f>ABS(MIN((BC12-BC11),0))</f>
        <v>1.4837315941404992E-3</v>
      </c>
      <c r="BD30" s="37">
        <f>ABS(MIN((BD12-BD11),0))</f>
        <v>9.5676567895208991E-5</v>
      </c>
      <c r="BE30" s="37">
        <f>ABS(MIN((BE12-BE11),0))</f>
        <v>0</v>
      </c>
      <c r="BF30" s="37">
        <f>ABS(MIN((BF12-BF11),0))</f>
        <v>4.1886127826071002E-4</v>
      </c>
      <c r="BG30" s="37">
        <f>ABS(MIN((BG12-BG11),0))</f>
        <v>6.2270426304561997E-4</v>
      </c>
      <c r="BH30" s="37">
        <f>ABS(MIN((BH12-BH11),0))</f>
        <v>0</v>
      </c>
      <c r="BI30" s="37">
        <f>ABS(MIN((BI12-BI11),0))</f>
        <v>0</v>
      </c>
      <c r="BJ30" s="37">
        <f>ABS(MIN((BJ12-BJ11),0))</f>
        <v>7.3146788623516031E-4</v>
      </c>
      <c r="BK30" s="37">
        <f>ABS(MIN((BK12-BK11),0))</f>
        <v>3.9406005571762963E-4</v>
      </c>
      <c r="BL30" s="37">
        <f>ABS(MIN((BL12-BL11),0))</f>
        <v>0</v>
      </c>
      <c r="BM30" s="37">
        <f>ABS(MIN((BM12-BM11),0))</f>
        <v>3.5437672676069936E-5</v>
      </c>
      <c r="BN30" s="37">
        <f>ABS(MIN((BN12-BN11),0))</f>
        <v>1.6131434535300061E-6</v>
      </c>
      <c r="BO30" s="37">
        <f>ABS(MIN((BO12-BO11),0))</f>
        <v>0</v>
      </c>
      <c r="BP30" s="37">
        <f>ABS(MIN((BP12-BP11),0))</f>
        <v>1.402576749547199E-4</v>
      </c>
      <c r="BQ30" s="37">
        <f>ABS(MIN((BQ12-BQ11),0))</f>
        <v>5.3622947727579966E-4</v>
      </c>
      <c r="BR30" s="37">
        <f>ABS(MIN((BR12-BR11),0))</f>
        <v>0</v>
      </c>
      <c r="BS30" s="37">
        <f>ABS(MIN((BS12-BS11),0))</f>
        <v>0</v>
      </c>
      <c r="BT30" s="37">
        <f>ABS(MIN((BT12-BT11),0))</f>
        <v>6.7947661594971982E-5</v>
      </c>
      <c r="BU30" s="37">
        <f>ABS(MIN((BU12-BU11),0))</f>
        <v>0</v>
      </c>
      <c r="BV30" s="37">
        <f>ABS(MIN((BV12-BV11),0))</f>
        <v>1.8119376425325905E-4</v>
      </c>
      <c r="BW30" s="37">
        <f>ABS(MIN((BW12-BW11),0))</f>
        <v>0</v>
      </c>
      <c r="BX30" s="37">
        <f>ABS(MIN((BX12-BX11),0))</f>
        <v>0</v>
      </c>
      <c r="BY30" s="37">
        <f>ABS(MIN((BY12-BY11),0))</f>
        <v>1.711479992018719E-3</v>
      </c>
      <c r="BZ30" s="37">
        <f>ABS(MIN((BZ12-BZ11),0))</f>
        <v>4.6260492361242019E-4</v>
      </c>
      <c r="CA30" s="37">
        <f>ABS(MIN((CA12-CA11),0))</f>
        <v>6.0107097966767987E-4</v>
      </c>
      <c r="CB30" s="37">
        <f>ABS(MIN((CB12-CB11),0))</f>
        <v>4.2860191894397021E-4</v>
      </c>
      <c r="CC30" s="37">
        <f>ABS(MIN((CC12-CC11),0))</f>
        <v>0</v>
      </c>
      <c r="CD30" s="37">
        <f>ABS(MIN((CD12-CD11),0))</f>
        <v>4.3326287385865017E-4</v>
      </c>
      <c r="CE30" s="37">
        <f>ABS(MIN((CE12-CE11),0))</f>
        <v>7.3463582540028998E-4</v>
      </c>
      <c r="CF30" s="37">
        <f>ABS(MIN((CF12-CF11),0))</f>
        <v>0</v>
      </c>
      <c r="CG30" s="37">
        <f>ABS(MIN((CG12-CG11),0))</f>
        <v>0</v>
      </c>
      <c r="CH30" s="37">
        <f>ABS(MIN((CH12-CH11),0))</f>
        <v>1.2878376311393407E-4</v>
      </c>
      <c r="CI30" s="37">
        <f>ABS(MIN((CI12-CI11),0))</f>
        <v>0</v>
      </c>
      <c r="CJ30" s="37">
        <f>ABS(MIN((CJ12-CJ11),0))</f>
        <v>7.1921486042850029E-4</v>
      </c>
      <c r="CK30" s="37">
        <f>ABS(MIN((CK12-CK11),0))</f>
        <v>7.9941554783011931E-4</v>
      </c>
      <c r="CL30" s="37">
        <f>ABS(MIN((CL12-CL11),0))</f>
        <v>1.1349116317442001E-3</v>
      </c>
      <c r="CM30" s="37">
        <f>ABS(MIN((CM12-CM11),0))</f>
        <v>0</v>
      </c>
      <c r="CN30" s="37">
        <f>ABS(MIN((CN12-CN11),0))</f>
        <v>6.0238551997130992E-4</v>
      </c>
      <c r="CO30" s="37">
        <f>ABS(MIN((CO12-CO11),0))</f>
        <v>0</v>
      </c>
      <c r="CP30" s="37">
        <f>ABS(MIN((CP12-CP11),0))</f>
        <v>9.6991108198833946E-5</v>
      </c>
      <c r="CQ30" s="37">
        <f>ABS(MIN((CQ12-CQ11),0))</f>
        <v>0</v>
      </c>
      <c r="CR30" s="37">
        <f>ABS(MIN((CR12-CR11),0))</f>
        <v>1.7581547533477098E-4</v>
      </c>
      <c r="CS30" s="37">
        <f>ABS(MIN((CS12-CS11),0))</f>
        <v>2.8081395305935017E-4</v>
      </c>
      <c r="CT30" s="37">
        <f>ABS(MIN((CT12-CT11),0))</f>
        <v>0</v>
      </c>
      <c r="CU30" s="37">
        <f>ABS(MIN((CU12-CU11),0))</f>
        <v>7.1491428862578959E-4</v>
      </c>
      <c r="CV30" s="37">
        <f>ABS(MIN((CV12-CV11),0))</f>
        <v>0</v>
      </c>
      <c r="CW30" s="37">
        <f>ABS(MIN((CW12-CW11),0))</f>
        <v>2.1908204209065399E-4</v>
      </c>
      <c r="CX30" s="37">
        <f>ABS(MIN((CX12-CX11),0))</f>
        <v>4.6786308482691958E-4</v>
      </c>
      <c r="CY30" s="37">
        <f>ABS(MIN((CY12-CY11),0))</f>
        <v>1.0063612595980972E-4</v>
      </c>
      <c r="CZ30" s="37">
        <f>ABS(MIN((CZ12-CZ11),0))</f>
        <v>2.9240799260411995E-4</v>
      </c>
      <c r="DA30" s="37">
        <f>ABS(MIN((DA12-DA11),0))</f>
        <v>2.7352391753741098E-4</v>
      </c>
      <c r="DB30" s="37">
        <f>ABS(MIN((DB12-DB11),0))</f>
        <v>1.3183157457508099E-4</v>
      </c>
      <c r="DC30" s="37">
        <f>ABS(MIN((DC12-DC11),0))</f>
        <v>0</v>
      </c>
      <c r="DD30" s="37">
        <f>ABS(MIN((DD12-DD11),0))</f>
        <v>2.166897846712602E-4</v>
      </c>
      <c r="DE30" s="37">
        <f>ABS(MIN((DE12-DE11),0))</f>
        <v>0</v>
      </c>
      <c r="DF30" s="37">
        <f>ABS(MIN((DF12-DF11),0))</f>
        <v>0</v>
      </c>
      <c r="DG30" s="37">
        <f>ABS(MIN((DG12-DG11),0))</f>
        <v>0</v>
      </c>
      <c r="DH30" s="37">
        <f>ABS(MIN((DH12-DH11),0))</f>
        <v>0</v>
      </c>
      <c r="DI30" s="37">
        <f>ABS(MIN((DI12-DI11),0))</f>
        <v>7.3027347363551013E-5</v>
      </c>
      <c r="DJ30" s="37">
        <f>ABS(MIN((DJ12-DJ11),0))</f>
        <v>1.6374367075014497E-3</v>
      </c>
      <c r="DK30" s="37">
        <f>ABS(MIN((DK12-DK11),0))</f>
        <v>0</v>
      </c>
      <c r="DL30" s="37">
        <f>ABS(MIN((DL12-DL11),0))</f>
        <v>0</v>
      </c>
      <c r="DM30" s="37">
        <f>ABS(MIN((DM12-DM11),0))</f>
        <v>0</v>
      </c>
      <c r="DN30" s="37">
        <f>ABS(MIN((DN12-DN11),0))</f>
        <v>0</v>
      </c>
      <c r="DO30" s="37">
        <f>ABS(MIN((DO12-DO11),0))</f>
        <v>2.4681094839088999E-4</v>
      </c>
      <c r="DP30" s="37">
        <f>ABS(MIN((DP12-DP11),0))</f>
        <v>0</v>
      </c>
      <c r="DQ30" s="37">
        <f>ABS(MIN((DQ12-DQ11),0))</f>
        <v>1.8586707516035205E-3</v>
      </c>
      <c r="DR30" s="37">
        <f>ABS(MIN((DR12-DR11),0))</f>
        <v>1.4443811905339929E-4</v>
      </c>
      <c r="DS30" s="37">
        <f>ABS(MIN((DS12-DS11),0))</f>
        <v>0</v>
      </c>
    </row>
    <row r="31" spans="1:123">
      <c r="B31" s="37">
        <f>ABS(MIN((B13-B12),0))</f>
        <v>4.2022853434431958E-4</v>
      </c>
      <c r="C31" s="37">
        <f>ABS(MIN((C13-C12),0))</f>
        <v>3.2037188769035987E-4</v>
      </c>
      <c r="D31" s="37">
        <f>ABS(MIN((D13-D12),0))</f>
        <v>0</v>
      </c>
      <c r="E31" s="37">
        <f>ABS(MIN((E13-E12),0))</f>
        <v>0</v>
      </c>
      <c r="F31" s="37">
        <f>ABS(MIN((F13-F12),0))</f>
        <v>7.4289133377475032E-5</v>
      </c>
      <c r="G31" s="37">
        <f>ABS(MIN((G13-G12),0))</f>
        <v>5.283177378343799E-4</v>
      </c>
      <c r="H31" s="37">
        <f>ABS(MIN((H13-H12),0))</f>
        <v>3.7153753792131981E-4</v>
      </c>
      <c r="I31" s="37">
        <f>ABS(MIN((I13-I12),0))</f>
        <v>3.4780158121519925E-4</v>
      </c>
      <c r="J31" s="37">
        <f>ABS(MIN((J13-J12),0))</f>
        <v>0</v>
      </c>
      <c r="K31" s="37">
        <f>ABS(MIN((K13-K12),0))</f>
        <v>0</v>
      </c>
      <c r="L31" s="37">
        <f>ABS(MIN((L13-L12),0))</f>
        <v>0</v>
      </c>
      <c r="M31" s="37">
        <f>ABS(MIN((M13-M12),0))</f>
        <v>2.7985220074747802E-4</v>
      </c>
      <c r="N31" s="37">
        <f>ABS(MIN((N13-N12),0))</f>
        <v>1.5554287300908998E-4</v>
      </c>
      <c r="O31" s="37">
        <f>ABS(MIN((O13-O12),0))</f>
        <v>0</v>
      </c>
      <c r="P31" s="37">
        <f>ABS(MIN((P13-P12),0))</f>
        <v>5.0278084823586998E-4</v>
      </c>
      <c r="Q31" s="37">
        <f>ABS(MIN((Q13-Q12),0))</f>
        <v>6.6380601117120054E-4</v>
      </c>
      <c r="R31" s="37">
        <f>ABS(MIN((R13-R12),0))</f>
        <v>9.5182952139890014E-5</v>
      </c>
      <c r="S31" s="37">
        <f>ABS(MIN((S13-S12),0))</f>
        <v>0</v>
      </c>
      <c r="T31" s="37">
        <f>ABS(MIN((T13-T12),0))</f>
        <v>4.3201995350243604E-4</v>
      </c>
      <c r="U31" s="37">
        <f>ABS(MIN((U13-U12),0))</f>
        <v>3.4792407592709003E-5</v>
      </c>
      <c r="V31" s="37">
        <f>ABS(MIN((V13-V12),0))</f>
        <v>6.140920535901602E-4</v>
      </c>
      <c r="W31" s="37">
        <f>ABS(MIN((W13-W12),0))</f>
        <v>4.8752243778968037E-5</v>
      </c>
      <c r="X31" s="37">
        <f>ABS(MIN((X13-X12),0))</f>
        <v>0</v>
      </c>
      <c r="Y31" s="37">
        <f>ABS(MIN((Y13-Y12),0))</f>
        <v>0</v>
      </c>
      <c r="Z31" s="37">
        <f>ABS(MIN((Z13-Z12),0))</f>
        <v>0</v>
      </c>
      <c r="AA31" s="37">
        <f>ABS(MIN((AA13-AA12),0))</f>
        <v>0</v>
      </c>
      <c r="AB31" s="37">
        <f>ABS(MIN((AB13-AB12),0))</f>
        <v>0</v>
      </c>
      <c r="AC31" s="37">
        <f>ABS(MIN((AC13-AC12),0))</f>
        <v>0</v>
      </c>
      <c r="AD31" s="37">
        <f>ABS(MIN((AD13-AD12),0))</f>
        <v>1.2086194863558195E-3</v>
      </c>
      <c r="AE31" s="37">
        <f>ABS(MIN((AE13-AE12),0))</f>
        <v>5.7710060529132974E-4</v>
      </c>
      <c r="AF31" s="37">
        <f>ABS(MIN((AF13-AF12),0))</f>
        <v>2.752091299113871E-4</v>
      </c>
      <c r="AG31" s="37">
        <f>ABS(MIN((AG13-AG12),0))</f>
        <v>0</v>
      </c>
      <c r="AH31" s="37">
        <f>ABS(MIN((AH13-AH12),0))</f>
        <v>7.5465212925489018E-5</v>
      </c>
      <c r="AI31" s="37">
        <f>ABS(MIN((AI13-AI12),0))</f>
        <v>0</v>
      </c>
      <c r="AJ31" s="37">
        <f>ABS(MIN((AJ13-AJ12),0))</f>
        <v>2.4456981430708014E-4</v>
      </c>
      <c r="AK31" s="37">
        <f>ABS(MIN((AK13-AK12),0))</f>
        <v>1.5062418907116001E-4</v>
      </c>
      <c r="AL31" s="37">
        <f>ABS(MIN((AL13-AL12),0))</f>
        <v>1.4978496998094499E-4</v>
      </c>
      <c r="AM31" s="37">
        <f>ABS(MIN((AM13-AM12),0))</f>
        <v>4.8743056675573052E-4</v>
      </c>
      <c r="AN31" s="37">
        <f>ABS(MIN((AN13-AN12),0))</f>
        <v>0</v>
      </c>
      <c r="AO31" s="37">
        <f>ABS(MIN((AO13-AO12),0))</f>
        <v>0</v>
      </c>
      <c r="AP31" s="37">
        <f>ABS(MIN((AP13-AP12),0))</f>
        <v>5.6660776039315014E-4</v>
      </c>
      <c r="AQ31" s="37">
        <f>ABS(MIN((AQ13-AQ12),0))</f>
        <v>0</v>
      </c>
      <c r="AR31" s="37">
        <f>ABS(MIN((AR13-AR12),0))</f>
        <v>0</v>
      </c>
      <c r="AS31" s="37">
        <f>ABS(MIN((AS13-AS12),0))</f>
        <v>0</v>
      </c>
      <c r="AT31" s="37">
        <f>ABS(MIN((AT13-AT12),0))</f>
        <v>1.7535248325743199E-4</v>
      </c>
      <c r="AU31" s="37">
        <f>ABS(MIN((AU13-AU12),0))</f>
        <v>4.5511998021498593E-6</v>
      </c>
      <c r="AV31" s="37">
        <f>ABS(MIN((AV13-AV12),0))</f>
        <v>0</v>
      </c>
      <c r="AW31" s="37">
        <f>ABS(MIN((AW13-AW12),0))</f>
        <v>1.3700121334269592E-4</v>
      </c>
      <c r="AX31" s="37">
        <f>ABS(MIN((AX13-AX12),0))</f>
        <v>0</v>
      </c>
      <c r="AY31" s="37">
        <f>ABS(MIN((AY13-AY12),0))</f>
        <v>0</v>
      </c>
      <c r="AZ31" s="37">
        <f>ABS(MIN((AZ13-AZ12),0))</f>
        <v>0</v>
      </c>
      <c r="BA31" s="37">
        <f>ABS(MIN((BA13-BA12),0))</f>
        <v>0</v>
      </c>
      <c r="BB31" s="37">
        <f>ABS(MIN((BB13-BB12),0))</f>
        <v>1.0431597542217023E-5</v>
      </c>
      <c r="BC31" s="37">
        <f>ABS(MIN((BC13-BC12),0))</f>
        <v>2.0669014903324998E-3</v>
      </c>
      <c r="BD31" s="37">
        <f>ABS(MIN((BD13-BD12),0))</f>
        <v>4.0642181654796994E-5</v>
      </c>
      <c r="BE31" s="37">
        <f>ABS(MIN((BE13-BE12),0))</f>
        <v>0</v>
      </c>
      <c r="BF31" s="37">
        <f>ABS(MIN((BF13-BF12),0))</f>
        <v>7.543458924750006E-5</v>
      </c>
      <c r="BG31" s="37">
        <f>ABS(MIN((BG13-BG12),0))</f>
        <v>0</v>
      </c>
      <c r="BH31" s="37">
        <f>ABS(MIN((BH13-BH12),0))</f>
        <v>0</v>
      </c>
      <c r="BI31" s="37">
        <f>ABS(MIN((BI13-BI12),0))</f>
        <v>0</v>
      </c>
      <c r="BJ31" s="37">
        <f>ABS(MIN((BJ13-BJ12),0))</f>
        <v>2.2744922361255015E-4</v>
      </c>
      <c r="BK31" s="37">
        <f>ABS(MIN((BK13-BK12),0))</f>
        <v>0</v>
      </c>
      <c r="BL31" s="37">
        <f>ABS(MIN((BL13-BL12),0))</f>
        <v>4.9822964843372597E-4</v>
      </c>
      <c r="BM31" s="37">
        <f>ABS(MIN((BM13-BM12),0))</f>
        <v>0</v>
      </c>
      <c r="BN31" s="37">
        <f>ABS(MIN((BN13-BN12),0))</f>
        <v>1.6253810294121008E-4</v>
      </c>
      <c r="BO31" s="37">
        <f>ABS(MIN((BO13-BO12),0))</f>
        <v>0</v>
      </c>
      <c r="BP31" s="37">
        <f>ABS(MIN((BP13-BP12),0))</f>
        <v>0</v>
      </c>
      <c r="BQ31" s="37">
        <f>ABS(MIN((BQ13-BQ12),0))</f>
        <v>0</v>
      </c>
      <c r="BR31" s="37">
        <f>ABS(MIN((BR13-BR12),0))</f>
        <v>0</v>
      </c>
      <c r="BS31" s="37">
        <f>ABS(MIN((BS13-BS12),0))</f>
        <v>1.5997157809931068E-4</v>
      </c>
      <c r="BT31" s="37">
        <f>ABS(MIN((BT13-BT12),0))</f>
        <v>0</v>
      </c>
      <c r="BU31" s="37">
        <f>ABS(MIN((BU13-BU12),0))</f>
        <v>4.7594538437743025E-4</v>
      </c>
      <c r="BV31" s="37">
        <f>ABS(MIN((BV13-BV12),0))</f>
        <v>0</v>
      </c>
      <c r="BW31" s="37">
        <f>ABS(MIN((BW13-BW12),0))</f>
        <v>0</v>
      </c>
      <c r="BX31" s="37">
        <f>ABS(MIN((BX13-BX12),0))</f>
        <v>2.8072204351567952E-4</v>
      </c>
      <c r="BY31" s="37">
        <f>ABS(MIN((BY13-BY12),0))</f>
        <v>0</v>
      </c>
      <c r="BZ31" s="37">
        <f>ABS(MIN((BZ13-BZ12),0))</f>
        <v>8.4995757610670025E-4</v>
      </c>
      <c r="CA31" s="37">
        <f>ABS(MIN((CA13-CA12),0))</f>
        <v>1.0443847013408996E-4</v>
      </c>
      <c r="CB31" s="37">
        <f>ABS(MIN((CB13-CB12),0))</f>
        <v>4.3892331240061983E-4</v>
      </c>
      <c r="CC31" s="37">
        <f>ABS(MIN((CC13-CC12),0))</f>
        <v>3.7144566688738004E-5</v>
      </c>
      <c r="CD31" s="37">
        <f>ABS(MIN((CD13-CD12),0))</f>
        <v>0</v>
      </c>
      <c r="CE31" s="37">
        <f>ABS(MIN((CE13-CE12),0))</f>
        <v>0</v>
      </c>
      <c r="CF31" s="37">
        <f>ABS(MIN((CF13-CF12),0))</f>
        <v>0</v>
      </c>
      <c r="CG31" s="37">
        <f>ABS(MIN((CG13-CG12),0))</f>
        <v>1.5761941900328987E-4</v>
      </c>
      <c r="CH31" s="37">
        <f>ABS(MIN((CH13-CH12),0))</f>
        <v>9.2555179942020076E-6</v>
      </c>
      <c r="CI31" s="37">
        <f>ABS(MIN((CI13-CI12),0))</f>
        <v>3.5745520702312999E-4</v>
      </c>
      <c r="CJ31" s="37">
        <f>ABS(MIN((CJ13-CJ12),0))</f>
        <v>0</v>
      </c>
      <c r="CK31" s="37">
        <f>ABS(MIN((CK13-CK12),0))</f>
        <v>0</v>
      </c>
      <c r="CL31" s="37">
        <f>ABS(MIN((CL13-CL12),0))</f>
        <v>1.5201463436504987E-4</v>
      </c>
      <c r="CM31" s="37">
        <f>ABS(MIN((CM13-CM12),0))</f>
        <v>0</v>
      </c>
      <c r="CN31" s="37">
        <f>ABS(MIN((CN13-CN12),0))</f>
        <v>0</v>
      </c>
      <c r="CO31" s="37">
        <f>ABS(MIN((CO13-CO12),0))</f>
        <v>0</v>
      </c>
      <c r="CP31" s="37">
        <f>ABS(MIN((CP13-CP12),0))</f>
        <v>4.7576164230954052E-5</v>
      </c>
      <c r="CQ31" s="37">
        <f>ABS(MIN((CQ13-CQ12),0))</f>
        <v>0</v>
      </c>
      <c r="CR31" s="37">
        <f>ABS(MIN((CR13-CR12),0))</f>
        <v>0</v>
      </c>
      <c r="CS31" s="37">
        <f>ABS(MIN((CS13-CS12),0))</f>
        <v>0</v>
      </c>
      <c r="CT31" s="37">
        <f>ABS(MIN((CT13-CT12),0))</f>
        <v>4.2028978170028037E-4</v>
      </c>
      <c r="CU31" s="37">
        <f>ABS(MIN((CU13-CU12),0))</f>
        <v>0</v>
      </c>
      <c r="CV31" s="37">
        <f>ABS(MIN((CV13-CV12),0))</f>
        <v>2.8681680700162987E-4</v>
      </c>
      <c r="CW31" s="37">
        <f>ABS(MIN((CW13-CW12),0))</f>
        <v>0</v>
      </c>
      <c r="CX31" s="37">
        <f>ABS(MIN((CX13-CX12),0))</f>
        <v>0</v>
      </c>
      <c r="CY31" s="37">
        <f>ABS(MIN((CY13-CY12),0))</f>
        <v>1.0339726508270045E-5</v>
      </c>
      <c r="CZ31" s="37">
        <f>ABS(MIN((CZ13-CZ12),0))</f>
        <v>0</v>
      </c>
      <c r="DA31" s="37">
        <f>ABS(MIN((DA13-DA12),0))</f>
        <v>0</v>
      </c>
      <c r="DB31" s="37">
        <f>ABS(MIN((DB13-DB12),0))</f>
        <v>0</v>
      </c>
      <c r="DC31" s="37">
        <f>ABS(MIN((DC13-DC12),0))</f>
        <v>1.1264040329220698E-4</v>
      </c>
      <c r="DD31" s="37">
        <f>ABS(MIN((DD13-DD12),0))</f>
        <v>1.9594006524002987E-4</v>
      </c>
      <c r="DE31" s="37">
        <f>ABS(MIN((DE13-DE12),0))</f>
        <v>1.9389414292381993E-4</v>
      </c>
      <c r="DF31" s="37">
        <f>ABS(MIN((DF13-DF12),0))</f>
        <v>0</v>
      </c>
      <c r="DG31" s="37">
        <f>ABS(MIN((DG13-DG12),0))</f>
        <v>0</v>
      </c>
      <c r="DH31" s="37">
        <f>ABS(MIN((DH13-DH12),0))</f>
        <v>0</v>
      </c>
      <c r="DI31" s="37">
        <f>ABS(MIN((DI13-DI12),0))</f>
        <v>9.2861416721837963E-6</v>
      </c>
      <c r="DJ31" s="37">
        <f>ABS(MIN((DJ13-DJ12),0))</f>
        <v>0</v>
      </c>
      <c r="DK31" s="37">
        <f>ABS(MIN((DK13-DK12),0))</f>
        <v>0</v>
      </c>
      <c r="DL31" s="37">
        <f>ABS(MIN((DL13-DL12),0))</f>
        <v>1.0211693471604997E-4</v>
      </c>
      <c r="DM31" s="37">
        <f>ABS(MIN((DM13-DM12),0))</f>
        <v>0</v>
      </c>
      <c r="DN31" s="37">
        <f>ABS(MIN((DN13-DN12),0))</f>
        <v>1.5207588172101E-4</v>
      </c>
      <c r="DO31" s="37">
        <f>ABS(MIN((DO13-DO12),0))</f>
        <v>2.3215354180461015E-5</v>
      </c>
      <c r="DP31" s="37">
        <f>ABS(MIN((DP13-DP12),0))</f>
        <v>1.5554287300908998E-4</v>
      </c>
      <c r="DQ31" s="37">
        <f>ABS(MIN((DQ13-DQ12),0))</f>
        <v>2.5524640127313949E-4</v>
      </c>
      <c r="DR31" s="37">
        <f>ABS(MIN((DR13-DR12),0))</f>
        <v>5.1281433796430964E-4</v>
      </c>
      <c r="DS31" s="37">
        <f>ABS(MIN((DS13-DS12),0))</f>
        <v>6.3043467255043031E-4</v>
      </c>
    </row>
    <row r="32" spans="1:123">
      <c r="B32" s="37">
        <f>ABS(MIN((B14-B13),0))</f>
        <v>0</v>
      </c>
      <c r="C32" s="37">
        <f>ABS(MIN((C14-C13),0))</f>
        <v>0</v>
      </c>
      <c r="D32" s="37">
        <f>ABS(MIN((D14-D13),0))</f>
        <v>3.5700173236134997E-4</v>
      </c>
      <c r="E32" s="37">
        <f>ABS(MIN((E14-E13),0))</f>
        <v>3.0951056227500068E-5</v>
      </c>
      <c r="F32" s="37">
        <f>ABS(MIN((F14-F13),0))</f>
        <v>5.3094439724367002E-5</v>
      </c>
      <c r="G32" s="37">
        <f>ABS(MIN((G14-G13),0))</f>
        <v>0</v>
      </c>
      <c r="H32" s="37">
        <f>ABS(MIN((H14-H13),0))</f>
        <v>0</v>
      </c>
      <c r="I32" s="37">
        <f>ABS(MIN((I14-I13),0))</f>
        <v>9.2862927385170026E-4</v>
      </c>
      <c r="J32" s="37">
        <f>ABS(MIN((J14-J13),0))</f>
        <v>2.6959924269344599E-4</v>
      </c>
      <c r="K32" s="37">
        <f>ABS(MIN((K14-K13),0))</f>
        <v>8.1919873080901588E-6</v>
      </c>
      <c r="L32" s="37">
        <f>ABS(MIN((L14-L13),0))</f>
        <v>0</v>
      </c>
      <c r="M32" s="37">
        <f>ABS(MIN((M14-M13),0))</f>
        <v>1.0273962163480008E-4</v>
      </c>
      <c r="N32" s="37">
        <f>ABS(MIN((N14-N13),0))</f>
        <v>0</v>
      </c>
      <c r="O32" s="37">
        <f>ABS(MIN((O14-O13),0))</f>
        <v>1.9134331888503E-4</v>
      </c>
      <c r="P32" s="37">
        <f>ABS(MIN((P14-P13),0))</f>
        <v>0</v>
      </c>
      <c r="Q32" s="37">
        <f>ABS(MIN((Q14-Q13),0))</f>
        <v>0</v>
      </c>
      <c r="R32" s="37">
        <f>ABS(MIN((R14-R13),0))</f>
        <v>2.7261734328063207E-4</v>
      </c>
      <c r="S32" s="37">
        <f>ABS(MIN((S14-S13),0))</f>
        <v>0</v>
      </c>
      <c r="T32" s="37">
        <f>ABS(MIN((T14-T13),0))</f>
        <v>0</v>
      </c>
      <c r="U32" s="37">
        <f>ABS(MIN((U14-U13),0))</f>
        <v>0</v>
      </c>
      <c r="V32" s="37">
        <f>ABS(MIN((V14-V13),0))</f>
        <v>8.1550816689320016E-5</v>
      </c>
      <c r="W32" s="37">
        <f>ABS(MIN((W14-W13),0))</f>
        <v>1.4850438850455599E-4</v>
      </c>
      <c r="X32" s="37">
        <f>ABS(MIN((X14-X13),0))</f>
        <v>4.9266366816154991E-4</v>
      </c>
      <c r="Y32" s="37">
        <f>ABS(MIN((Y14-Y13),0))</f>
        <v>0</v>
      </c>
      <c r="Z32" s="37">
        <f>ABS(MIN((Z14-Z13),0))</f>
        <v>9.4818571398818958E-4</v>
      </c>
      <c r="AA32" s="37">
        <f>ABS(MIN((AA14-AA13),0))</f>
        <v>3.6932076374105198E-4</v>
      </c>
      <c r="AB32" s="37">
        <f>ABS(MIN((AB14-AB13),0))</f>
        <v>3.7751275104913997E-4</v>
      </c>
      <c r="AC32" s="37">
        <f>ABS(MIN((AC14-AC13),0))</f>
        <v>0</v>
      </c>
      <c r="AD32" s="37">
        <f>ABS(MIN((AD14-AD13),0))</f>
        <v>0</v>
      </c>
      <c r="AE32" s="37">
        <f>ABS(MIN((AE14-AE13),0))</f>
        <v>0</v>
      </c>
      <c r="AF32" s="37">
        <f>ABS(MIN((AF14-AF13),0))</f>
        <v>1.26699898136533E-4</v>
      </c>
      <c r="AG32" s="37">
        <f>ABS(MIN((AG14-AG13),0))</f>
        <v>1.523848035452299E-4</v>
      </c>
      <c r="AH32" s="37">
        <f>ABS(MIN((AH14-AH13),0))</f>
        <v>0</v>
      </c>
      <c r="AI32" s="37">
        <f>ABS(MIN((AI14-AI13),0))</f>
        <v>4.5509088859988986E-4</v>
      </c>
      <c r="AJ32" s="37">
        <f>ABS(MIN((AJ14-AJ13),0))</f>
        <v>1.7505160836674008E-3</v>
      </c>
      <c r="AK32" s="37">
        <f>ABS(MIN((AK14-AK13),0))</f>
        <v>1.2395858984306021E-4</v>
      </c>
      <c r="AL32" s="37">
        <f>ABS(MIN((AL14-AL13),0))</f>
        <v>1.1342628820544E-4</v>
      </c>
      <c r="AM32" s="37">
        <f>ABS(MIN((AM14-AM13),0))</f>
        <v>0</v>
      </c>
      <c r="AN32" s="37">
        <f>ABS(MIN((AN14-AN13),0))</f>
        <v>3.8484242390376001E-4</v>
      </c>
      <c r="AO32" s="37">
        <f>ABS(MIN((AO14-AO13),0))</f>
        <v>1.6264031288913097E-4</v>
      </c>
      <c r="AP32" s="37">
        <f>ABS(MIN((AP14-AP13),0))</f>
        <v>0</v>
      </c>
      <c r="AQ32" s="37">
        <f>ABS(MIN((AQ14-AQ13),0))</f>
        <v>0</v>
      </c>
      <c r="AR32" s="37">
        <f>ABS(MIN((AR14-AR13),0))</f>
        <v>0</v>
      </c>
      <c r="AS32" s="37">
        <f>ABS(MIN((AS14-AS13),0))</f>
        <v>0</v>
      </c>
      <c r="AT32" s="37">
        <f>ABS(MIN((AT14-AT13),0))</f>
        <v>7.5330087319133016E-5</v>
      </c>
      <c r="AU32" s="37">
        <f>ABS(MIN((AU14-AU13),0))</f>
        <v>0</v>
      </c>
      <c r="AV32" s="37">
        <f>ABS(MIN((AV14-AV13),0))</f>
        <v>3.0908117935788022E-4</v>
      </c>
      <c r="AW32" s="37">
        <f>ABS(MIN((AW14-AW13),0))</f>
        <v>0</v>
      </c>
      <c r="AX32" s="37">
        <f>ABS(MIN((AX14-AX13),0))</f>
        <v>0</v>
      </c>
      <c r="AY32" s="37">
        <f>ABS(MIN((AY14-AY13),0))</f>
        <v>4.1545458700242973E-5</v>
      </c>
      <c r="AZ32" s="37">
        <f>ABS(MIN((AZ14-AZ13),0))</f>
        <v>8.1366288493520122E-5</v>
      </c>
      <c r="BA32" s="37">
        <f>ABS(MIN((BA14-BA13),0))</f>
        <v>9.7996892140639103E-5</v>
      </c>
      <c r="BB32" s="37">
        <f>ABS(MIN((BB14-BB13),0))</f>
        <v>1.7203350777954699E-4</v>
      </c>
      <c r="BC32" s="37">
        <f>ABS(MIN((BC14-BC13),0))</f>
        <v>0</v>
      </c>
      <c r="BD32" s="37">
        <f>ABS(MIN((BD14-BD13),0))</f>
        <v>8.6231445348399632E-7</v>
      </c>
      <c r="BE32" s="37">
        <f>ABS(MIN((BE14-BE13),0))</f>
        <v>2.1896754465930033E-5</v>
      </c>
      <c r="BF32" s="37">
        <f>ABS(MIN((BF14-BF13),0))</f>
        <v>4.1853478842474295E-4</v>
      </c>
      <c r="BG32" s="37">
        <f>ABS(MIN((BG14-BG13),0))</f>
        <v>4.7581659874629863E-5</v>
      </c>
      <c r="BH32" s="37">
        <f>ABS(MIN((BH14-BH13),0))</f>
        <v>2.199540607830121E-4</v>
      </c>
      <c r="BI32" s="37">
        <f>ABS(MIN((BI14-BI13),0))</f>
        <v>4.8921441034762E-4</v>
      </c>
      <c r="BJ32" s="37">
        <f>ABS(MIN((BJ14-BJ13),0))</f>
        <v>0</v>
      </c>
      <c r="BK32" s="37">
        <f>ABS(MIN((BK14-BK13),0))</f>
        <v>0</v>
      </c>
      <c r="BL32" s="37">
        <f>ABS(MIN((BL14-BL13),0))</f>
        <v>0</v>
      </c>
      <c r="BM32" s="37">
        <f>ABS(MIN((BM14-BM13),0))</f>
        <v>2.8718442489195995E-4</v>
      </c>
      <c r="BN32" s="37">
        <f>ABS(MIN((BN14-BN13),0))</f>
        <v>0</v>
      </c>
      <c r="BO32" s="37">
        <f>ABS(MIN((BO14-BO13),0))</f>
        <v>1.8712401071551039E-4</v>
      </c>
      <c r="BP32" s="37">
        <f>ABS(MIN((BP14-BP13),0))</f>
        <v>0</v>
      </c>
      <c r="BQ32" s="37">
        <f>ABS(MIN((BQ14-BQ13),0))</f>
        <v>7.1917735144359958E-4</v>
      </c>
      <c r="BR32" s="37">
        <f>ABS(MIN((BR14-BR13),0))</f>
        <v>6.6762301243039981E-4</v>
      </c>
      <c r="BS32" s="37">
        <f>ABS(MIN((BS14-BS13),0))</f>
        <v>5.907528244000898E-4</v>
      </c>
      <c r="BT32" s="37">
        <f>ABS(MIN((BT14-BT13),0))</f>
        <v>1.7246289069670169E-6</v>
      </c>
      <c r="BU32" s="37">
        <f>ABS(MIN((BU14-BU13),0))</f>
        <v>3.2925330491683988E-4</v>
      </c>
      <c r="BV32" s="37">
        <f>ABS(MIN((BV14-BV13),0))</f>
        <v>0</v>
      </c>
      <c r="BW32" s="37">
        <f>ABS(MIN((BW14-BW13),0))</f>
        <v>0</v>
      </c>
      <c r="BX32" s="37">
        <f>ABS(MIN((BX14-BX13),0))</f>
        <v>0</v>
      </c>
      <c r="BY32" s="37">
        <f>ABS(MIN((BY14-BY13),0))</f>
        <v>2.981478837563098E-4</v>
      </c>
      <c r="BZ32" s="37">
        <f>ABS(MIN((BZ14-BZ13),0))</f>
        <v>0</v>
      </c>
      <c r="CA32" s="37">
        <f>ABS(MIN((CA14-CA13),0))</f>
        <v>0</v>
      </c>
      <c r="CB32" s="37">
        <f>ABS(MIN((CB14-CB13),0))</f>
        <v>0</v>
      </c>
      <c r="CC32" s="37">
        <f>ABS(MIN((CC14-CC13),0))</f>
        <v>9.9290363820865016E-5</v>
      </c>
      <c r="CD32" s="37">
        <f>ABS(MIN((CD14-CD13),0))</f>
        <v>0</v>
      </c>
      <c r="CE32" s="37">
        <f>ABS(MIN((CE14-CE13),0))</f>
        <v>8.2659760173740045E-5</v>
      </c>
      <c r="CF32" s="37">
        <f>ABS(MIN((CF14-CF13),0))</f>
        <v>1.6220915566238898E-4</v>
      </c>
      <c r="CG32" s="37">
        <f>ABS(MIN((CG14-CG13),0))</f>
        <v>5.4541921475708029E-4</v>
      </c>
      <c r="CH32" s="37">
        <f>ABS(MIN((CH14-CH13),0))</f>
        <v>0</v>
      </c>
      <c r="CI32" s="37">
        <f>ABS(MIN((CI14-CI13),0))</f>
        <v>0</v>
      </c>
      <c r="CJ32" s="37">
        <f>ABS(MIN((CJ14-CJ13),0))</f>
        <v>9.1708029282759965E-4</v>
      </c>
      <c r="CK32" s="37">
        <f>ABS(MIN((CK14-CK13),0))</f>
        <v>0</v>
      </c>
      <c r="CL32" s="37">
        <f>ABS(MIN((CL14-CL13),0))</f>
        <v>0</v>
      </c>
      <c r="CM32" s="37">
        <f>ABS(MIN((CM14-CM13),0))</f>
        <v>2.688045294347699E-3</v>
      </c>
      <c r="CN32" s="37">
        <f>ABS(MIN((CN14-CN13),0))</f>
        <v>9.0214415482472001E-4</v>
      </c>
      <c r="CO32" s="37">
        <f>ABS(MIN((CO14-CO13),0))</f>
        <v>2.1211303190886103E-3</v>
      </c>
      <c r="CP32" s="37">
        <f>ABS(MIN((CP14-CP13),0))</f>
        <v>0</v>
      </c>
      <c r="CQ32" s="37">
        <f>ABS(MIN((CQ14-CQ13),0))</f>
        <v>0</v>
      </c>
      <c r="CR32" s="37">
        <f>ABS(MIN((CR14-CR13),0))</f>
        <v>6.1625320161298996E-5</v>
      </c>
      <c r="CS32" s="37">
        <f>ABS(MIN((CS14-CS13),0))</f>
        <v>1.2722331946117982E-4</v>
      </c>
      <c r="CT32" s="37">
        <f>ABS(MIN((CT14-CT13),0))</f>
        <v>0</v>
      </c>
      <c r="CU32" s="37">
        <f>ABS(MIN((CU14-CU13),0))</f>
        <v>4.1311427267290033E-4</v>
      </c>
      <c r="CV32" s="37">
        <f>ABS(MIN((CV14-CV13),0))</f>
        <v>0</v>
      </c>
      <c r="CW32" s="37">
        <f>ABS(MIN((CW14-CW13),0))</f>
        <v>0</v>
      </c>
      <c r="CX32" s="37">
        <f>ABS(MIN((CX14-CX13),0))</f>
        <v>1.8007113015460971E-4</v>
      </c>
      <c r="CY32" s="37">
        <f>ABS(MIN((CY14-CY13),0))</f>
        <v>0</v>
      </c>
      <c r="CZ32" s="37">
        <f>ABS(MIN((CZ14-CZ13),0))</f>
        <v>3.8431900257910982E-4</v>
      </c>
      <c r="DA32" s="37">
        <f>ABS(MIN((DA14-DA13),0))</f>
        <v>0</v>
      </c>
      <c r="DB32" s="37">
        <f>ABS(MIN((DB14-DB13),0))</f>
        <v>0</v>
      </c>
      <c r="DC32" s="37">
        <f>ABS(MIN((DC14-DC13),0))</f>
        <v>1.9599378428128002E-4</v>
      </c>
      <c r="DD32" s="37">
        <f>ABS(MIN((DD14-DD13),0))</f>
        <v>0</v>
      </c>
      <c r="DE32" s="37">
        <f>ABS(MIN((DE14-DE13),0))</f>
        <v>1.0403309331503009E-4</v>
      </c>
      <c r="DF32" s="37">
        <f>ABS(MIN((DF14-DF13),0))</f>
        <v>2.6494877729719003E-4</v>
      </c>
      <c r="DG32" s="37">
        <f>ABS(MIN((DG14-DG13),0))</f>
        <v>2.6451762007044998E-4</v>
      </c>
      <c r="DH32" s="37">
        <f>ABS(MIN((DH14-DH13),0))</f>
        <v>4.7886663690581595E-4</v>
      </c>
      <c r="DI32" s="37">
        <f>ABS(MIN((DI14-DI13),0))</f>
        <v>0</v>
      </c>
      <c r="DJ32" s="37">
        <f>ABS(MIN((DJ14-DJ13),0))</f>
        <v>7.1818728670080406E-5</v>
      </c>
      <c r="DK32" s="37">
        <f>ABS(MIN((DK14-DK13),0))</f>
        <v>0</v>
      </c>
      <c r="DL32" s="37">
        <f>ABS(MIN((DL14-DL13),0))</f>
        <v>0</v>
      </c>
      <c r="DM32" s="37">
        <f>ABS(MIN((DM14-DM13),0))</f>
        <v>5.2232125270883006E-5</v>
      </c>
      <c r="DN32" s="37">
        <f>ABS(MIN((DN14-DN13),0))</f>
        <v>3.3510497789541517E-4</v>
      </c>
      <c r="DO32" s="37">
        <f>ABS(MIN((DO14-DO13),0))</f>
        <v>0</v>
      </c>
      <c r="DP32" s="37">
        <f>ABS(MIN((DP14-DP13),0))</f>
        <v>0</v>
      </c>
      <c r="DQ32" s="37">
        <f>ABS(MIN((DQ14-DQ13),0))</f>
        <v>0</v>
      </c>
      <c r="DR32" s="37">
        <f>ABS(MIN((DR14-DR13),0))</f>
        <v>0</v>
      </c>
      <c r="DS32" s="37">
        <f>ABS(MIN((DS14-DS13),0))</f>
        <v>0</v>
      </c>
    </row>
    <row r="33" spans="2:123">
      <c r="B33" s="37">
        <f>ABS(MIN((B15-B14),0))</f>
        <v>8.1719622575715956E-4</v>
      </c>
      <c r="C33" s="37">
        <f>ABS(MIN((C15-C14),0))</f>
        <v>6.1221902234972949E-4</v>
      </c>
      <c r="D33" s="37">
        <f>ABS(MIN((D15-D14),0))</f>
        <v>0</v>
      </c>
      <c r="E33" s="37">
        <f>ABS(MIN((E15-E14),0))</f>
        <v>5.2283853649592957E-4</v>
      </c>
      <c r="F33" s="37">
        <f>ABS(MIN((F15-F14),0))</f>
        <v>0</v>
      </c>
      <c r="G33" s="37">
        <f>ABS(MIN((G15-G14),0))</f>
        <v>0</v>
      </c>
      <c r="H33" s="37">
        <f>ABS(MIN((H15-H14),0))</f>
        <v>7.7066931349829989E-4</v>
      </c>
      <c r="I33" s="37">
        <f>ABS(MIN((I15-I14),0))</f>
        <v>1.4232214717286602E-3</v>
      </c>
      <c r="J33" s="37">
        <f>ABS(MIN((J15-J14),0))</f>
        <v>4.9623800447956014E-5</v>
      </c>
      <c r="K33" s="37">
        <f>ABS(MIN((K15-K14),0))</f>
        <v>3.3274683790239946E-5</v>
      </c>
      <c r="L33" s="37">
        <f>ABS(MIN((L15-L14),0))</f>
        <v>2.2490358364992097E-4</v>
      </c>
      <c r="M33" s="37">
        <f>ABS(MIN((M15-M14),0))</f>
        <v>0</v>
      </c>
      <c r="N33" s="37">
        <f>ABS(MIN((N15-N14),0))</f>
        <v>6.0544879549672033E-4</v>
      </c>
      <c r="O33" s="37">
        <f>ABS(MIN((O15-O14),0))</f>
        <v>3.5065564148306009E-4</v>
      </c>
      <c r="P33" s="37">
        <f>ABS(MIN((P15-P14),0))</f>
        <v>0</v>
      </c>
      <c r="Q33" s="37">
        <f>ABS(MIN((Q15-Q14),0))</f>
        <v>1.7702998496269204E-3</v>
      </c>
      <c r="R33" s="37">
        <f>ABS(MIN((R15-R14),0))</f>
        <v>1.6541266815985295E-4</v>
      </c>
      <c r="S33" s="37">
        <f>ABS(MIN((S15-S14),0))</f>
        <v>2.5169626582454991E-4</v>
      </c>
      <c r="T33" s="37">
        <f>ABS(MIN((T15-T14),0))</f>
        <v>4.3326590048385508E-4</v>
      </c>
      <c r="U33" s="37">
        <f>ABS(MIN((U15-U14),0))</f>
        <v>3.6381179487254291E-4</v>
      </c>
      <c r="V33" s="37">
        <f>ABS(MIN((V15-V14),0))</f>
        <v>0</v>
      </c>
      <c r="W33" s="37">
        <f>ABS(MIN((W15-W14),0))</f>
        <v>1.3890821122262298E-4</v>
      </c>
      <c r="X33" s="37">
        <f>ABS(MIN((X15-X14),0))</f>
        <v>0</v>
      </c>
      <c r="Y33" s="37">
        <f>ABS(MIN((Y15-Y14),0))</f>
        <v>5.2264638633765987E-4</v>
      </c>
      <c r="Z33" s="37">
        <f>ABS(MIN((Z15-Z14),0))</f>
        <v>2.9212547678434016E-4</v>
      </c>
      <c r="AA33" s="37">
        <f>ABS(MIN((AA15-AA14),0))</f>
        <v>1.3233013452788303E-4</v>
      </c>
      <c r="AB33" s="37">
        <f>ABS(MIN((AB15-AB14),0))</f>
        <v>0</v>
      </c>
      <c r="AC33" s="37">
        <f>ABS(MIN((AC15-AC14),0))</f>
        <v>0</v>
      </c>
      <c r="AD33" s="37">
        <f>ABS(MIN((AD15-AD14),0))</f>
        <v>2.1304383058356096E-3</v>
      </c>
      <c r="AE33" s="37">
        <f>ABS(MIN((AE15-AE14),0))</f>
        <v>0</v>
      </c>
      <c r="AF33" s="37">
        <f>ABS(MIN((AF15-AF14),0))</f>
        <v>2.3815581211853495E-4</v>
      </c>
      <c r="AG33" s="37">
        <f>ABS(MIN((AG15-AG14),0))</f>
        <v>4.5638524399457499E-4</v>
      </c>
      <c r="AH33" s="37">
        <f>ABS(MIN((AH15-AH14),0))</f>
        <v>4.2330271036260996E-4</v>
      </c>
      <c r="AI33" s="37">
        <f>ABS(MIN((AI15-AI14),0))</f>
        <v>0</v>
      </c>
      <c r="AJ33" s="37">
        <f>ABS(MIN((AJ15-AJ14),0))</f>
        <v>1.1483097873142599E-3</v>
      </c>
      <c r="AK33" s="37">
        <f>ABS(MIN((AK15-AK14),0))</f>
        <v>2.070563090029E-3</v>
      </c>
      <c r="AL33" s="37">
        <f>ABS(MIN((AL15-AL14),0))</f>
        <v>0</v>
      </c>
      <c r="AM33" s="37">
        <f>ABS(MIN((AM15-AM14),0))</f>
        <v>1.8968491262017981E-4</v>
      </c>
      <c r="AN33" s="37">
        <f>ABS(MIN((AN15-AN14),0))</f>
        <v>2.7820072276177983E-4</v>
      </c>
      <c r="AO33" s="37">
        <f>ABS(MIN((AO15-AO14),0))</f>
        <v>0</v>
      </c>
      <c r="AP33" s="37">
        <f>ABS(MIN((AP15-AP14),0))</f>
        <v>0</v>
      </c>
      <c r="AQ33" s="37">
        <f>ABS(MIN((AQ15-AQ14),0))</f>
        <v>0</v>
      </c>
      <c r="AR33" s="37">
        <f>ABS(MIN((AR15-AR14),0))</f>
        <v>0</v>
      </c>
      <c r="AS33" s="37">
        <f>ABS(MIN((AS15-AS14),0))</f>
        <v>4.2997686213648188E-4</v>
      </c>
      <c r="AT33" s="37">
        <f>ABS(MIN((AT15-AT14),0))</f>
        <v>0</v>
      </c>
      <c r="AU33" s="37">
        <f>ABS(MIN((AU15-AU14),0))</f>
        <v>4.5319228072634001E-4</v>
      </c>
      <c r="AV33" s="37">
        <f>ABS(MIN((AV15-AV14),0))</f>
        <v>9.0957752472092986E-4</v>
      </c>
      <c r="AW33" s="37">
        <f>ABS(MIN((AW15-AW14),0))</f>
        <v>0</v>
      </c>
      <c r="AX33" s="37">
        <f>ABS(MIN((AX15-AX14),0))</f>
        <v>0</v>
      </c>
      <c r="AY33" s="37">
        <f>ABS(MIN((AY15-AY14),0))</f>
        <v>0</v>
      </c>
      <c r="AZ33" s="37">
        <f>ABS(MIN((AZ15-AZ14),0))</f>
        <v>0</v>
      </c>
      <c r="BA33" s="37">
        <f>ABS(MIN((BA15-BA14),0))</f>
        <v>7.2743143958681894E-5</v>
      </c>
      <c r="BB33" s="37">
        <f>ABS(MIN((BB15-BB14),0))</f>
        <v>0</v>
      </c>
      <c r="BC33" s="37">
        <f>ABS(MIN((BC15-BC14),0))</f>
        <v>1.1254786690409399E-3</v>
      </c>
      <c r="BD33" s="37">
        <f>ABS(MIN((BD15-BD14),0))</f>
        <v>0</v>
      </c>
      <c r="BE33" s="37">
        <f>ABS(MIN((BE15-BE14),0))</f>
        <v>1.1927005621754005E-4</v>
      </c>
      <c r="BF33" s="37">
        <f>ABS(MIN((BF15-BF14),0))</f>
        <v>0</v>
      </c>
      <c r="BG33" s="37">
        <f>ABS(MIN((BG15-BG14),0))</f>
        <v>5.6490102380090052E-5</v>
      </c>
      <c r="BH33" s="37">
        <f>ABS(MIN((BH15-BH14),0))</f>
        <v>0</v>
      </c>
      <c r="BI33" s="37">
        <f>ABS(MIN((BI15-BI14),0))</f>
        <v>1.5573770327601032E-4</v>
      </c>
      <c r="BJ33" s="37">
        <f>ABS(MIN((BJ15-BJ14),0))</f>
        <v>2.287690724720997E-4</v>
      </c>
      <c r="BK33" s="37">
        <f>ABS(MIN((BK15-BK14),0))</f>
        <v>2.683336077196701E-4</v>
      </c>
      <c r="BL33" s="37">
        <f>ABS(MIN((BL15-BL14),0))</f>
        <v>1.0921079101715596E-4</v>
      </c>
      <c r="BM33" s="37">
        <f>ABS(MIN((BM15-BM14),0))</f>
        <v>1.1588494279103005E-4</v>
      </c>
      <c r="BN33" s="37">
        <f>ABS(MIN((BN15-BN14),0))</f>
        <v>0</v>
      </c>
      <c r="BO33" s="37">
        <f>ABS(MIN((BO15-BO14),0))</f>
        <v>0</v>
      </c>
      <c r="BP33" s="37">
        <f>ABS(MIN((BP15-BP14),0))</f>
        <v>7.3091262809245002E-4</v>
      </c>
      <c r="BQ33" s="37">
        <f>ABS(MIN((BQ15-BQ14),0))</f>
        <v>0</v>
      </c>
      <c r="BR33" s="37">
        <f>ABS(MIN((BR15-BR14),0))</f>
        <v>0</v>
      </c>
      <c r="BS33" s="37">
        <f>ABS(MIN((BS15-BS14),0))</f>
        <v>7.3511744591759839E-5</v>
      </c>
      <c r="BT33" s="37">
        <f>ABS(MIN((BT15-BT14),0))</f>
        <v>0</v>
      </c>
      <c r="BU33" s="37">
        <f>ABS(MIN((BU15-BU14),0))</f>
        <v>2.8825998796215991E-4</v>
      </c>
      <c r="BV33" s="37">
        <f>ABS(MIN((BV15-BV14),0))</f>
        <v>3.7706402334115906E-4</v>
      </c>
      <c r="BW33" s="37">
        <f>ABS(MIN((BW15-BW14),0))</f>
        <v>4.4980716729983901E-4</v>
      </c>
      <c r="BX33" s="37">
        <f>ABS(MIN((BX15-BX14),0))</f>
        <v>4.345864217839869E-6</v>
      </c>
      <c r="BY33" s="37">
        <f>ABS(MIN((BY15-BY14),0))</f>
        <v>1.0788556817029503E-3</v>
      </c>
      <c r="BZ33" s="37">
        <f>ABS(MIN((BZ15-BZ14),0))</f>
        <v>0</v>
      </c>
      <c r="CA33" s="37">
        <f>ABS(MIN((CA15-CA14),0))</f>
        <v>7.6320407543449889E-5</v>
      </c>
      <c r="CB33" s="37">
        <f>ABS(MIN((CB15-CB14),0))</f>
        <v>9.2931175480515018E-4</v>
      </c>
      <c r="CC33" s="37">
        <f>ABS(MIN((CC15-CC14),0))</f>
        <v>0</v>
      </c>
      <c r="CD33" s="37">
        <f>ABS(MIN((CD15-CD14),0))</f>
        <v>0</v>
      </c>
      <c r="CE33" s="37">
        <f>ABS(MIN((CE15-CE14),0))</f>
        <v>0</v>
      </c>
      <c r="CF33" s="37">
        <f>ABS(MIN((CF15-CF14),0))</f>
        <v>9.6075079133984241E-8</v>
      </c>
      <c r="CG33" s="37">
        <f>ABS(MIN((CG15-CG14),0))</f>
        <v>0</v>
      </c>
      <c r="CH33" s="37">
        <f>ABS(MIN((CH15-CH14),0))</f>
        <v>5.2583934960589193E-4</v>
      </c>
      <c r="CI33" s="37">
        <f>ABS(MIN((CI15-CI14),0))</f>
        <v>0</v>
      </c>
      <c r="CJ33" s="37">
        <f>ABS(MIN((CJ15-CJ14),0))</f>
        <v>0</v>
      </c>
      <c r="CK33" s="37">
        <f>ABS(MIN((CK15-CK14),0))</f>
        <v>5.6936544875477949E-4</v>
      </c>
      <c r="CL33" s="37">
        <f>ABS(MIN((CL15-CL14),0))</f>
        <v>0</v>
      </c>
      <c r="CM33" s="37">
        <f>ABS(MIN((CM15-CM14),0))</f>
        <v>1.3660363581377982E-3</v>
      </c>
      <c r="CN33" s="37">
        <f>ABS(MIN((CN15-CN14),0))</f>
        <v>0</v>
      </c>
      <c r="CO33" s="37">
        <f>ABS(MIN((CO15-CO14),0))</f>
        <v>2.0608881251451602E-3</v>
      </c>
      <c r="CP33" s="37">
        <f>ABS(MIN((CP15-CP14),0))</f>
        <v>0</v>
      </c>
      <c r="CQ33" s="37">
        <f>ABS(MIN((CQ15-CQ14),0))</f>
        <v>3.1137197253066004E-3</v>
      </c>
      <c r="CR33" s="37">
        <f>ABS(MIN((CR15-CR14),0))</f>
        <v>0</v>
      </c>
      <c r="CS33" s="37">
        <f>ABS(MIN((CS15-CS14),0))</f>
        <v>1.3600347319179E-4</v>
      </c>
      <c r="CT33" s="37">
        <f>ABS(MIN((CT15-CT14),0))</f>
        <v>8.4350853253611999E-4</v>
      </c>
      <c r="CU33" s="37">
        <f>ABS(MIN((CU15-CU14),0))</f>
        <v>0</v>
      </c>
      <c r="CV33" s="37">
        <f>ABS(MIN((CV15-CV14),0))</f>
        <v>9.6054637627680187E-5</v>
      </c>
      <c r="CW33" s="37">
        <f>ABS(MIN((CW15-CW14),0))</f>
        <v>2.6504456937229972E-5</v>
      </c>
      <c r="CX33" s="37">
        <f>ABS(MIN((CX15-CX14),0))</f>
        <v>0</v>
      </c>
      <c r="CY33" s="37">
        <f>ABS(MIN((CY15-CY14),0))</f>
        <v>1.3919643646001989E-4</v>
      </c>
      <c r="CZ33" s="37">
        <f>ABS(MIN((CZ15-CZ14),0))</f>
        <v>1.5554555311773509E-4</v>
      </c>
      <c r="DA33" s="37">
        <f>ABS(MIN((DA15-DA14),0))</f>
        <v>2.6456419397663197E-4</v>
      </c>
      <c r="DB33" s="37">
        <f>ABS(MIN((DB15-DB14),0))</f>
        <v>0</v>
      </c>
      <c r="DC33" s="37">
        <f>ABS(MIN((DC15-DC14),0))</f>
        <v>0</v>
      </c>
      <c r="DD33" s="37">
        <f>ABS(MIN((DD15-DD14),0))</f>
        <v>3.3159393695277994E-4</v>
      </c>
      <c r="DE33" s="37">
        <f>ABS(MIN((DE15-DE14),0))</f>
        <v>0</v>
      </c>
      <c r="DF33" s="37">
        <f>ABS(MIN((DF15-DF14),0))</f>
        <v>0</v>
      </c>
      <c r="DG33" s="37">
        <f>ABS(MIN((DG15-DG14),0))</f>
        <v>4.0685751862576001E-4</v>
      </c>
      <c r="DH33" s="37">
        <f>ABS(MIN((DH15-DH14),0))</f>
        <v>1.5216043969123896E-4</v>
      </c>
      <c r="DI33" s="37">
        <f>ABS(MIN((DI15-DI14),0))</f>
        <v>0</v>
      </c>
      <c r="DJ33" s="37">
        <f>ABS(MIN((DJ15-DJ14),0))</f>
        <v>0</v>
      </c>
      <c r="DK33" s="37">
        <f>ABS(MIN((DK15-DK14),0))</f>
        <v>0</v>
      </c>
      <c r="DL33" s="37">
        <f>ABS(MIN((DL15-DL14),0))</f>
        <v>6.5816948413376986E-4</v>
      </c>
      <c r="DM33" s="37">
        <f>ABS(MIN((DM15-DM14),0))</f>
        <v>3.0093576595597302E-4</v>
      </c>
      <c r="DN33" s="37">
        <f>ABS(MIN((DN15-DN14),0))</f>
        <v>0</v>
      </c>
      <c r="DO33" s="37">
        <f>ABS(MIN((DO15-DO14),0))</f>
        <v>5.9586990569201028E-5</v>
      </c>
      <c r="DP33" s="37">
        <f>ABS(MIN((DP15-DP14),0))</f>
        <v>0</v>
      </c>
      <c r="DQ33" s="37">
        <f>ABS(MIN((DQ15-DQ14),0))</f>
        <v>0</v>
      </c>
      <c r="DR33" s="37">
        <f>ABS(MIN((DR15-DR14),0))</f>
        <v>8.2113530399993001E-6</v>
      </c>
      <c r="DS33" s="37">
        <f>ABS(MIN((DS15-DS14),0))</f>
        <v>5.0977845818557998E-4</v>
      </c>
    </row>
    <row r="34" spans="2:123">
      <c r="B34" s="37">
        <f>ABS(MIN((B16-B15),0))</f>
        <v>0</v>
      </c>
      <c r="C34" s="37">
        <f>ABS(MIN((C16-C15),0))</f>
        <v>0</v>
      </c>
      <c r="D34" s="37">
        <f>ABS(MIN((D16-D15),0))</f>
        <v>8.4714667124900084E-5</v>
      </c>
      <c r="E34" s="37">
        <f>ABS(MIN((E16-E15),0))</f>
        <v>0</v>
      </c>
      <c r="F34" s="37">
        <f>ABS(MIN((F16-F15),0))</f>
        <v>4.7841293502359598E-4</v>
      </c>
      <c r="G34" s="37">
        <f>ABS(MIN((G16-G15),0))</f>
        <v>1.19756886013026E-3</v>
      </c>
      <c r="H34" s="37">
        <f>ABS(MIN((H16-H15),0))</f>
        <v>0</v>
      </c>
      <c r="I34" s="37">
        <f>ABS(MIN((I16-I15),0))</f>
        <v>5.1753881905472997E-4</v>
      </c>
      <c r="J34" s="37">
        <f>ABS(MIN((J16-J15),0))</f>
        <v>4.333944077294699E-5</v>
      </c>
      <c r="K34" s="37">
        <f>ABS(MIN((K16-K15),0))</f>
        <v>3.4671552618358004E-4</v>
      </c>
      <c r="L34" s="37">
        <f>ABS(MIN((L16-L15),0))</f>
        <v>0</v>
      </c>
      <c r="M34" s="37">
        <f>ABS(MIN((M16-M15),0))</f>
        <v>0</v>
      </c>
      <c r="N34" s="37">
        <f>ABS(MIN((N16-N15),0))</f>
        <v>8.0108267498884981E-4</v>
      </c>
      <c r="O34" s="37">
        <f>ABS(MIN((O16-O15),0))</f>
        <v>0</v>
      </c>
      <c r="P34" s="37">
        <f>ABS(MIN((P16-P15),0))</f>
        <v>4.0599044846879959E-4</v>
      </c>
      <c r="Q34" s="37">
        <f>ABS(MIN((Q16-Q15),0))</f>
        <v>0</v>
      </c>
      <c r="R34" s="37">
        <f>ABS(MIN((R16-R15),0))</f>
        <v>0</v>
      </c>
      <c r="S34" s="37">
        <f>ABS(MIN((S16-S15),0))</f>
        <v>3.3049491677149007E-4</v>
      </c>
      <c r="T34" s="37">
        <f>ABS(MIN((T16-T15),0))</f>
        <v>0</v>
      </c>
      <c r="U34" s="37">
        <f>ABS(MIN((U16-U15),0))</f>
        <v>1.1715588594909401E-4</v>
      </c>
      <c r="V34" s="37">
        <f>ABS(MIN((V16-V15),0))</f>
        <v>1.4542473317255902E-3</v>
      </c>
      <c r="W34" s="37">
        <f>ABS(MIN((W16-W15),0))</f>
        <v>0</v>
      </c>
      <c r="X34" s="37">
        <f>ABS(MIN((X16-X15),0))</f>
        <v>3.4167826662006E-4</v>
      </c>
      <c r="Y34" s="37">
        <f>ABS(MIN((Y16-Y15),0))</f>
        <v>0</v>
      </c>
      <c r="Z34" s="37">
        <f>ABS(MIN((Z16-Z15),0))</f>
        <v>1.5320872483769957E-4</v>
      </c>
      <c r="AA34" s="37">
        <f>ABS(MIN((AA16-AA15),0))</f>
        <v>0</v>
      </c>
      <c r="AB34" s="37">
        <f>ABS(MIN((AB16-AB15),0))</f>
        <v>0</v>
      </c>
      <c r="AC34" s="37">
        <f>ABS(MIN((AC16-AC15),0))</f>
        <v>1.4000096690039E-3</v>
      </c>
      <c r="AD34" s="37">
        <f>ABS(MIN((AD16-AD15),0))</f>
        <v>0</v>
      </c>
      <c r="AE34" s="37">
        <f>ABS(MIN((AE16-AE15),0))</f>
        <v>4.9910054819958007E-4</v>
      </c>
      <c r="AF34" s="37">
        <f>ABS(MIN((AF16-AF15),0))</f>
        <v>0</v>
      </c>
      <c r="AG34" s="37">
        <f>ABS(MIN((AG16-AG15),0))</f>
        <v>0</v>
      </c>
      <c r="AH34" s="37">
        <f>ABS(MIN((AH16-AH15),0))</f>
        <v>1.9908263583128801E-4</v>
      </c>
      <c r="AI34" s="37">
        <f>ABS(MIN((AI16-AI15),0))</f>
        <v>0</v>
      </c>
      <c r="AJ34" s="37">
        <f>ABS(MIN((AJ16-AJ15),0))</f>
        <v>0</v>
      </c>
      <c r="AK34" s="37">
        <f>ABS(MIN((AK16-AK15),0))</f>
        <v>0</v>
      </c>
      <c r="AL34" s="37">
        <f>ABS(MIN((AL16-AL15),0))</f>
        <v>1.4763289035229197E-4</v>
      </c>
      <c r="AM34" s="37">
        <f>ABS(MIN((AM16-AM15),0))</f>
        <v>1.6740175807328601E-3</v>
      </c>
      <c r="AN34" s="37">
        <f>ABS(MIN((AN16-AN15),0))</f>
        <v>0</v>
      </c>
      <c r="AO34" s="37">
        <f>ABS(MIN((AO16-AO15),0))</f>
        <v>0</v>
      </c>
      <c r="AP34" s="37">
        <f>ABS(MIN((AP16-AP15),0))</f>
        <v>5.038526798632802E-4</v>
      </c>
      <c r="AQ34" s="37">
        <f>ABS(MIN((AQ16-AQ15),0))</f>
        <v>4.6079836699014802E-4</v>
      </c>
      <c r="AR34" s="37">
        <f>ABS(MIN((AR16-AR15),0))</f>
        <v>2.150181173435602E-4</v>
      </c>
      <c r="AS34" s="37">
        <f>ABS(MIN((AS16-AS15),0))</f>
        <v>0</v>
      </c>
      <c r="AT34" s="37">
        <f>ABS(MIN((AT16-AT15),0))</f>
        <v>4.11027708032325E-4</v>
      </c>
      <c r="AU34" s="37">
        <f>ABS(MIN((AU16-AU15),0))</f>
        <v>0</v>
      </c>
      <c r="AV34" s="37">
        <f>ABS(MIN((AV16-AV15),0))</f>
        <v>0</v>
      </c>
      <c r="AW34" s="37">
        <f>ABS(MIN((AW16-AW15),0))</f>
        <v>2.5360542645280586E-4</v>
      </c>
      <c r="AX34" s="37">
        <f>ABS(MIN((AX16-AX15),0))</f>
        <v>0</v>
      </c>
      <c r="AY34" s="37">
        <f>ABS(MIN((AY16-AY15),0))</f>
        <v>5.5390846672090995E-4</v>
      </c>
      <c r="AZ34" s="37">
        <f>ABS(MIN((AZ16-AZ15),0))</f>
        <v>5.0245872124193001E-4</v>
      </c>
      <c r="BA34" s="37">
        <f>ABS(MIN((BA16-BA15),0))</f>
        <v>0</v>
      </c>
      <c r="BB34" s="37">
        <f>ABS(MIN((BB16-BB15),0))</f>
        <v>0</v>
      </c>
      <c r="BC34" s="37">
        <f>ABS(MIN((BC16-BC15),0))</f>
        <v>1.3223598376189971E-4</v>
      </c>
      <c r="BD34" s="37">
        <f>ABS(MIN((BD16-BD15),0))</f>
        <v>9.9541317915644007E-5</v>
      </c>
      <c r="BE34" s="37">
        <f>ABS(MIN((BE16-BE15),0))</f>
        <v>2.6478877630137991E-4</v>
      </c>
      <c r="BF34" s="37">
        <f>ABS(MIN((BF16-BF15),0))</f>
        <v>0</v>
      </c>
      <c r="BG34" s="37">
        <f>ABS(MIN((BG16-BG15),0))</f>
        <v>0</v>
      </c>
      <c r="BH34" s="37">
        <f>ABS(MIN((BH16-BH15),0))</f>
        <v>0</v>
      </c>
      <c r="BI34" s="37">
        <f>ABS(MIN((BI16-BI15),0))</f>
        <v>0</v>
      </c>
      <c r="BJ34" s="37">
        <f>ABS(MIN((BJ16-BJ15),0))</f>
        <v>4.8287993878747036E-4</v>
      </c>
      <c r="BK34" s="37">
        <f>ABS(MIN((BK16-BK15),0))</f>
        <v>1.9068720322542015E-4</v>
      </c>
      <c r="BL34" s="37">
        <f>ABS(MIN((BL16-BL15),0))</f>
        <v>0</v>
      </c>
      <c r="BM34" s="37">
        <f>ABS(MIN((BM16-BM15),0))</f>
        <v>4.4793593062039097E-4</v>
      </c>
      <c r="BN34" s="37">
        <f>ABS(MIN((BN16-BN15),0))</f>
        <v>0</v>
      </c>
      <c r="BO34" s="37">
        <f>ABS(MIN((BO16-BO15),0))</f>
        <v>6.0982521596379983E-4</v>
      </c>
      <c r="BP34" s="37">
        <f>ABS(MIN((BP16-BP15),0))</f>
        <v>0</v>
      </c>
      <c r="BQ34" s="37">
        <f>ABS(MIN((BQ16-BQ15),0))</f>
        <v>4.5351176510580963E-4</v>
      </c>
      <c r="BR34" s="37">
        <f>ABS(MIN((BR16-BR15),0))</f>
        <v>3.6433009421703018E-4</v>
      </c>
      <c r="BS34" s="37">
        <f>ABS(MIN((BS16-BS15),0))</f>
        <v>0</v>
      </c>
      <c r="BT34" s="37">
        <f>ABS(MIN((BT16-BT15),0))</f>
        <v>7.3816445176145987E-5</v>
      </c>
      <c r="BU34" s="37">
        <f>ABS(MIN((BU16-BU15),0))</f>
        <v>0</v>
      </c>
      <c r="BV34" s="37">
        <f>ABS(MIN((BV16-BV15),0))</f>
        <v>3.5229136066897994E-5</v>
      </c>
      <c r="BW34" s="37">
        <f>ABS(MIN((BW16-BW15),0))</f>
        <v>4.7366080335989601E-4</v>
      </c>
      <c r="BX34" s="37">
        <f>ABS(MIN((BX16-BX15),0))</f>
        <v>0</v>
      </c>
      <c r="BY34" s="37">
        <f>ABS(MIN((BY16-BY15),0))</f>
        <v>0</v>
      </c>
      <c r="BZ34" s="37">
        <f>ABS(MIN((BZ16-BZ15),0))</f>
        <v>2.2898938443483962E-4</v>
      </c>
      <c r="CA34" s="37">
        <f>ABS(MIN((CA16-CA15),0))</f>
        <v>1.1379771290675003E-4</v>
      </c>
      <c r="CB34" s="37">
        <f>ABS(MIN((CB16-CB15),0))</f>
        <v>0</v>
      </c>
      <c r="CC34" s="37">
        <f>ABS(MIN((CC16-CC15),0))</f>
        <v>1.8622019946153899E-4</v>
      </c>
      <c r="CD34" s="37">
        <f>ABS(MIN((CD16-CD15),0))</f>
        <v>1.2037149504153001E-3</v>
      </c>
      <c r="CE34" s="37">
        <f>ABS(MIN((CE16-CE15),0))</f>
        <v>1.16401881058453E-3</v>
      </c>
      <c r="CF34" s="37">
        <f>ABS(MIN((CF16-CF15),0))</f>
        <v>0</v>
      </c>
      <c r="CG34" s="37">
        <f>ABS(MIN((CG16-CG15),0))</f>
        <v>1.5649719994898096E-3</v>
      </c>
      <c r="CH34" s="37">
        <f>ABS(MIN((CH16-CH15),0))</f>
        <v>1.7335776309179002E-4</v>
      </c>
      <c r="CI34" s="37">
        <f>ABS(MIN((CI16-CI15),0))</f>
        <v>3.4782435690510968E-4</v>
      </c>
      <c r="CJ34" s="37">
        <f>ABS(MIN((CJ16-CJ15),0))</f>
        <v>1.9818606699072809E-3</v>
      </c>
      <c r="CK34" s="37">
        <f>ABS(MIN((CK16-CK15),0))</f>
        <v>6.5148557021556036E-4</v>
      </c>
      <c r="CL34" s="37">
        <f>ABS(MIN((CL16-CL15),0))</f>
        <v>1.7291106271540204E-3</v>
      </c>
      <c r="CM34" s="37">
        <f>ABS(MIN((CM16-CM15),0))</f>
        <v>0</v>
      </c>
      <c r="CN34" s="37">
        <f>ABS(MIN((CN16-CN15),0))</f>
        <v>6.2347967427749812E-5</v>
      </c>
      <c r="CO34" s="37">
        <f>ABS(MIN((CO16-CO15),0))</f>
        <v>0</v>
      </c>
      <c r="CP34" s="37">
        <f>ABS(MIN((CP16-CP15),0))</f>
        <v>2.7121999448626011E-4</v>
      </c>
      <c r="CQ34" s="37">
        <f>ABS(MIN((CQ16-CQ15),0))</f>
        <v>0</v>
      </c>
      <c r="CR34" s="37">
        <f>ABS(MIN((CR16-CR15),0))</f>
        <v>5.05816894284269E-4</v>
      </c>
      <c r="CS34" s="37">
        <f>ABS(MIN((CS16-CS15),0))</f>
        <v>0</v>
      </c>
      <c r="CT34" s="37">
        <f>ABS(MIN((CT16-CT15),0))</f>
        <v>0</v>
      </c>
      <c r="CU34" s="37">
        <f>ABS(MIN((CU16-CU15),0))</f>
        <v>3.4307222524141041E-4</v>
      </c>
      <c r="CV34" s="37">
        <f>ABS(MIN((CV16-CV15),0))</f>
        <v>3.0730451425298264E-6</v>
      </c>
      <c r="CW34" s="37">
        <f>ABS(MIN((CW16-CW15),0))</f>
        <v>0</v>
      </c>
      <c r="CX34" s="37">
        <f>ABS(MIN((CX16-CX15),0))</f>
        <v>3.1202496503857091E-4</v>
      </c>
      <c r="CY34" s="37">
        <f>ABS(MIN((CY16-CY15),0))</f>
        <v>7.5210403797500245E-5</v>
      </c>
      <c r="CZ34" s="37">
        <f>ABS(MIN((CZ16-CZ15),0))</f>
        <v>3.3553217633500599E-4</v>
      </c>
      <c r="DA34" s="37">
        <f>ABS(MIN((DA16-DA15),0))</f>
        <v>0</v>
      </c>
      <c r="DB34" s="37">
        <f>ABS(MIN((DB16-DB15),0))</f>
        <v>3.91734053477702E-4</v>
      </c>
      <c r="DC34" s="37">
        <f>ABS(MIN((DC16-DC15),0))</f>
        <v>9.3110099730769007E-5</v>
      </c>
      <c r="DD34" s="37">
        <f>ABS(MIN((DD16-DD15),0))</f>
        <v>0</v>
      </c>
      <c r="DE34" s="37">
        <f>ABS(MIN((DE16-DE15),0))</f>
        <v>0</v>
      </c>
      <c r="DF34" s="37">
        <f>ABS(MIN((DF16-DF15),0))</f>
        <v>0</v>
      </c>
      <c r="DG34" s="37">
        <f>ABS(MIN((DG16-DG15),0))</f>
        <v>0</v>
      </c>
      <c r="DH34" s="37">
        <f>ABS(MIN((DH16-DH15),0))</f>
        <v>0</v>
      </c>
      <c r="DI34" s="37">
        <f>ABS(MIN((DI16-DI15),0))</f>
        <v>9.9541317915644007E-5</v>
      </c>
      <c r="DJ34" s="37">
        <f>ABS(MIN((DJ16-DJ15),0))</f>
        <v>1.4956225580775497E-3</v>
      </c>
      <c r="DK34" s="37">
        <f>ABS(MIN((DK16-DK15),0))</f>
        <v>0</v>
      </c>
      <c r="DL34" s="37">
        <f>ABS(MIN((DL16-DL15),0))</f>
        <v>0</v>
      </c>
      <c r="DM34" s="37">
        <f>ABS(MIN((DM16-DM15),0))</f>
        <v>0</v>
      </c>
      <c r="DN34" s="37">
        <f>ABS(MIN((DN16-DN15),0))</f>
        <v>1.0356795747868549E-3</v>
      </c>
      <c r="DO34" s="37">
        <f>ABS(MIN((DO16-DO15),0))</f>
        <v>1.36449540503717E-4</v>
      </c>
      <c r="DP34" s="37">
        <f>ABS(MIN((DP16-DP15),0))</f>
        <v>4.4457775757804981E-4</v>
      </c>
      <c r="DQ34" s="37">
        <f>ABS(MIN((DQ16-DQ15),0))</f>
        <v>1.5923759587504801E-3</v>
      </c>
      <c r="DR34" s="37">
        <f>ABS(MIN((DR16-DR15),0))</f>
        <v>2.3305404105118804E-3</v>
      </c>
      <c r="DS34" s="37">
        <f>ABS(MIN((DS16-DS15),0))</f>
        <v>0</v>
      </c>
    </row>
    <row r="35" spans="2:123">
      <c r="B35" s="37">
        <f>ABS(MIN((B17-B16),0))</f>
        <v>0</v>
      </c>
      <c r="C35" s="37">
        <f>ABS(MIN((C17-C16),0))</f>
        <v>9.3017169896120969E-4</v>
      </c>
      <c r="D35" s="37">
        <f>ABS(MIN((D17-D16),0))</f>
        <v>0</v>
      </c>
      <c r="E35" s="37">
        <f>ABS(MIN((E17-E16),0))</f>
        <v>2.7869469920337002E-4</v>
      </c>
      <c r="F35" s="37">
        <f>ABS(MIN((F17-F16),0))</f>
        <v>1.13389230047371E-4</v>
      </c>
      <c r="G35" s="37">
        <f>ABS(MIN((G17-G16),0))</f>
        <v>5.6555402497026003E-4</v>
      </c>
      <c r="H35" s="37">
        <f>ABS(MIN((H17-H16),0))</f>
        <v>5.7835906908909997E-4</v>
      </c>
      <c r="I35" s="37">
        <f>ABS(MIN((I17-I16),0))</f>
        <v>0</v>
      </c>
      <c r="J35" s="37">
        <f>ABS(MIN((J17-J16),0))</f>
        <v>2.5146046482135001E-5</v>
      </c>
      <c r="K35" s="37">
        <f>ABS(MIN((K17-K16),0))</f>
        <v>0</v>
      </c>
      <c r="L35" s="37">
        <f>ABS(MIN((L17-L16),0))</f>
        <v>3.0105649515231901E-4</v>
      </c>
      <c r="M35" s="37">
        <f>ABS(MIN((M17-M16),0))</f>
        <v>6.3561178838630059E-5</v>
      </c>
      <c r="N35" s="37">
        <f>ABS(MIN((N17-N16),0))</f>
        <v>0</v>
      </c>
      <c r="O35" s="37">
        <f>ABS(MIN((O17-O16),0))</f>
        <v>3.646176739909501E-4</v>
      </c>
      <c r="P35" s="37">
        <f>ABS(MIN((P17-P16),0))</f>
        <v>1.6460940652270029E-4</v>
      </c>
      <c r="Q35" s="37">
        <f>ABS(MIN((Q17-Q16),0))</f>
        <v>0</v>
      </c>
      <c r="R35" s="37">
        <f>ABS(MIN((R17-R16),0))</f>
        <v>1.3876729740726996E-4</v>
      </c>
      <c r="S35" s="37">
        <f>ABS(MIN((S17-S16),0))</f>
        <v>0</v>
      </c>
      <c r="T35" s="37">
        <f>ABS(MIN((T17-T16),0))</f>
        <v>4.0140866020308493E-4</v>
      </c>
      <c r="U35" s="37">
        <f>ABS(MIN((U17-U16),0))</f>
        <v>0</v>
      </c>
      <c r="V35" s="37">
        <f>ABS(MIN((V17-V16),0))</f>
        <v>0</v>
      </c>
      <c r="W35" s="37">
        <f>ABS(MIN((W17-W16),0))</f>
        <v>3.6368959047989002E-4</v>
      </c>
      <c r="X35" s="37">
        <f>ABS(MIN((X17-X16),0))</f>
        <v>0</v>
      </c>
      <c r="Y35" s="37">
        <f>ABS(MIN((Y17-Y16),0))</f>
        <v>1.3965148507659843E-5</v>
      </c>
      <c r="Z35" s="37">
        <f>ABS(MIN((Z17-Z16),0))</f>
        <v>0</v>
      </c>
      <c r="AA35" s="37">
        <f>ABS(MIN((AA17-AA16),0))</f>
        <v>0</v>
      </c>
      <c r="AB35" s="37">
        <f>ABS(MIN((AB17-AB16),0))</f>
        <v>1.3969538091832987E-4</v>
      </c>
      <c r="AC35" s="37">
        <f>ABS(MIN((AC17-AC16),0))</f>
        <v>1.3923133916279992E-4</v>
      </c>
      <c r="AD35" s="37">
        <f>ABS(MIN((AD17-AD16),0))</f>
        <v>0</v>
      </c>
      <c r="AE35" s="37">
        <f>ABS(MIN((AE17-AE16),0))</f>
        <v>0</v>
      </c>
      <c r="AF35" s="37">
        <f>ABS(MIN((AF17-AF16),0))</f>
        <v>0</v>
      </c>
      <c r="AG35" s="37">
        <f>ABS(MIN((AG17-AG16),0))</f>
        <v>3.8906765783978991E-4</v>
      </c>
      <c r="AH35" s="37">
        <f>ABS(MIN((AH17-AH16),0))</f>
        <v>0</v>
      </c>
      <c r="AI35" s="37">
        <f>ABS(MIN((AI17-AI16),0))</f>
        <v>0</v>
      </c>
      <c r="AJ35" s="37">
        <f>ABS(MIN((AJ17-AJ16),0))</f>
        <v>1.5220318748024398E-3</v>
      </c>
      <c r="AK35" s="37">
        <f>ABS(MIN((AK17-AK16),0))</f>
        <v>7.0687355203294996E-4</v>
      </c>
      <c r="AL35" s="37">
        <f>ABS(MIN((AL17-AL16),0))</f>
        <v>2.5099642306581499E-4</v>
      </c>
      <c r="AM35" s="37">
        <f>ABS(MIN((AM17-AM16),0))</f>
        <v>0</v>
      </c>
      <c r="AN35" s="37">
        <f>ABS(MIN((AN17-AN16),0))</f>
        <v>1.1547741794725981E-4</v>
      </c>
      <c r="AO35" s="37">
        <f>ABS(MIN((AO17-AO16),0))</f>
        <v>0</v>
      </c>
      <c r="AP35" s="37">
        <f>ABS(MIN((AP17-AP16),0))</f>
        <v>0</v>
      </c>
      <c r="AQ35" s="37">
        <f>ABS(MIN((AQ17-AQ16),0))</f>
        <v>0</v>
      </c>
      <c r="AR35" s="37">
        <f>ABS(MIN((AR17-AR16),0))</f>
        <v>2.388874415802779E-4</v>
      </c>
      <c r="AS35" s="37">
        <f>ABS(MIN((AS17-AS16),0))</f>
        <v>0</v>
      </c>
      <c r="AT35" s="37">
        <f>ABS(MIN((AT17-AT16),0))</f>
        <v>0</v>
      </c>
      <c r="AU35" s="37">
        <f>ABS(MIN((AU17-AU16),0))</f>
        <v>5.1452197353090041E-5</v>
      </c>
      <c r="AV35" s="37">
        <f>ABS(MIN((AV17-AV16),0))</f>
        <v>0</v>
      </c>
      <c r="AW35" s="37">
        <f>ABS(MIN((AW17-AW16),0))</f>
        <v>0</v>
      </c>
      <c r="AX35" s="37">
        <f>ABS(MIN((AX17-AX16),0))</f>
        <v>0</v>
      </c>
      <c r="AY35" s="37">
        <f>ABS(MIN((AY17-AY16),0))</f>
        <v>0</v>
      </c>
      <c r="AZ35" s="37">
        <f>ABS(MIN((AZ17-AZ16),0))</f>
        <v>0</v>
      </c>
      <c r="BA35" s="37">
        <f>ABS(MIN((BA17-BA16),0))</f>
        <v>7.5206118568638196E-5</v>
      </c>
      <c r="BB35" s="37">
        <f>ABS(MIN((BB17-BB16),0))</f>
        <v>1.6321728125610901E-4</v>
      </c>
      <c r="BC35" s="37">
        <f>ABS(MIN((BC17-BC16),0))</f>
        <v>1.0586861819050801E-3</v>
      </c>
      <c r="BD35" s="37">
        <f>ABS(MIN((BD17-BD16),0))</f>
        <v>0</v>
      </c>
      <c r="BE35" s="37">
        <f>ABS(MIN((BE17-BE16),0))</f>
        <v>0</v>
      </c>
      <c r="BF35" s="37">
        <f>ABS(MIN((BF17-BF16),0))</f>
        <v>0</v>
      </c>
      <c r="BG35" s="37">
        <f>ABS(MIN((BG17-BG16),0))</f>
        <v>0</v>
      </c>
      <c r="BH35" s="37">
        <f>ABS(MIN((BH17-BH16),0))</f>
        <v>0</v>
      </c>
      <c r="BI35" s="37">
        <f>ABS(MIN((BI17-BI16),0))</f>
        <v>1.4661211140959765E-5</v>
      </c>
      <c r="BJ35" s="37">
        <f>ABS(MIN((BJ17-BJ16),0))</f>
        <v>0</v>
      </c>
      <c r="BK35" s="37">
        <f>ABS(MIN((BK17-BK16),0))</f>
        <v>6.5417345860760076E-5</v>
      </c>
      <c r="BL35" s="37">
        <f>ABS(MIN((BL17-BL16),0))</f>
        <v>4.5123671141183102E-4</v>
      </c>
      <c r="BM35" s="37">
        <f>ABS(MIN((BM17-BM16),0))</f>
        <v>0</v>
      </c>
      <c r="BN35" s="37">
        <f>ABS(MIN((BN17-BN16),0))</f>
        <v>2.6538171748720059E-5</v>
      </c>
      <c r="BO35" s="37">
        <f>ABS(MIN((BO17-BO16),0))</f>
        <v>0</v>
      </c>
      <c r="BP35" s="37">
        <f>ABS(MIN((BP17-BP16),0))</f>
        <v>1.0151226943959997E-4</v>
      </c>
      <c r="BQ35" s="37">
        <f>ABS(MIN((BQ17-BQ16),0))</f>
        <v>0</v>
      </c>
      <c r="BR35" s="37">
        <f>ABS(MIN((BR17-BR16),0))</f>
        <v>0</v>
      </c>
      <c r="BS35" s="37">
        <f>ABS(MIN((BS17-BS16),0))</f>
        <v>5.0593720105364046E-4</v>
      </c>
      <c r="BT35" s="37">
        <f>ABS(MIN((BT17-BT16),0))</f>
        <v>2.7567842779241901E-4</v>
      </c>
      <c r="BU35" s="37">
        <f>ABS(MIN((BU17-BU16),0))</f>
        <v>4.549490454560795E-4</v>
      </c>
      <c r="BV35" s="37">
        <f>ABS(MIN((BV17-BV16),0))</f>
        <v>0</v>
      </c>
      <c r="BW35" s="37">
        <f>ABS(MIN((BW17-BW16),0))</f>
        <v>0</v>
      </c>
      <c r="BX35" s="37">
        <f>ABS(MIN((BX17-BX16),0))</f>
        <v>5.5692535665120054E-4</v>
      </c>
      <c r="BY35" s="37">
        <f>ABS(MIN((BY17-BY16),0))</f>
        <v>1.2461214261322504E-3</v>
      </c>
      <c r="BZ35" s="37">
        <f>ABS(MIN((BZ17-BZ16),0))</f>
        <v>2.297947315056904E-4</v>
      </c>
      <c r="CA35" s="37">
        <f>ABS(MIN((CA17-CA16),0))</f>
        <v>7.6598243835229989E-5</v>
      </c>
      <c r="CB35" s="37">
        <f>ABS(MIN((CB17-CB16),0))</f>
        <v>0</v>
      </c>
      <c r="CC35" s="37">
        <f>ABS(MIN((CC17-CC16),0))</f>
        <v>0</v>
      </c>
      <c r="CD35" s="37">
        <f>ABS(MIN((CD17-CD16),0))</f>
        <v>0</v>
      </c>
      <c r="CE35" s="37">
        <f>ABS(MIN((CE17-CE16),0))</f>
        <v>0</v>
      </c>
      <c r="CF35" s="37">
        <f>ABS(MIN((CF17-CF16),0))</f>
        <v>0</v>
      </c>
      <c r="CG35" s="37">
        <f>ABS(MIN((CG17-CG16),0))</f>
        <v>0</v>
      </c>
      <c r="CH35" s="37">
        <f>ABS(MIN((CH17-CH16),0))</f>
        <v>0</v>
      </c>
      <c r="CI35" s="37">
        <f>ABS(MIN((CI17-CI16),0))</f>
        <v>0</v>
      </c>
      <c r="CJ35" s="37">
        <f>ABS(MIN((CJ17-CJ16),0))</f>
        <v>0</v>
      </c>
      <c r="CK35" s="37">
        <f>ABS(MIN((CK17-CK16),0))</f>
        <v>0</v>
      </c>
      <c r="CL35" s="37">
        <f>ABS(MIN((CL17-CL16),0))</f>
        <v>0</v>
      </c>
      <c r="CM35" s="37">
        <f>ABS(MIN((CM17-CM16),0))</f>
        <v>2.4928448523799801E-4</v>
      </c>
      <c r="CN35" s="37">
        <f>ABS(MIN((CN17-CN16),0))</f>
        <v>5.2760293436929012E-4</v>
      </c>
      <c r="CO35" s="37">
        <f>ABS(MIN((CO17-CO16),0))</f>
        <v>0</v>
      </c>
      <c r="CP35" s="37">
        <f>ABS(MIN((CP17-CP16),0))</f>
        <v>8.8707225320770007E-5</v>
      </c>
      <c r="CQ35" s="37">
        <f>ABS(MIN((CQ17-CQ16),0))</f>
        <v>0</v>
      </c>
      <c r="CR35" s="37">
        <f>ABS(MIN((CR17-CR16),0))</f>
        <v>0</v>
      </c>
      <c r="CS35" s="37">
        <f>ABS(MIN((CS17-CS16),0))</f>
        <v>7.159662621075303E-4</v>
      </c>
      <c r="CT35" s="37">
        <f>ABS(MIN((CT17-CT16),0))</f>
        <v>3.4016769014211029E-4</v>
      </c>
      <c r="CU35" s="37">
        <f>ABS(MIN((CU17-CU16),0))</f>
        <v>0</v>
      </c>
      <c r="CV35" s="37">
        <f>ABS(MIN((CV17-CV16),0))</f>
        <v>0</v>
      </c>
      <c r="CW35" s="37">
        <f>ABS(MIN((CW17-CW16),0))</f>
        <v>1.5064425801504202E-4</v>
      </c>
      <c r="CX35" s="37">
        <f>ABS(MIN((CX17-CX16),0))</f>
        <v>0</v>
      </c>
      <c r="CY35" s="37">
        <f>ABS(MIN((CY17-CY16),0))</f>
        <v>0</v>
      </c>
      <c r="CZ35" s="37">
        <f>ABS(MIN((CZ17-CZ16),0))</f>
        <v>0</v>
      </c>
      <c r="DA35" s="37">
        <f>ABS(MIN((DA17-DA16),0))</f>
        <v>1.5064425801504202E-4</v>
      </c>
      <c r="DB35" s="37">
        <f>ABS(MIN((DB17-DB16),0))</f>
        <v>0</v>
      </c>
      <c r="DC35" s="37">
        <f>ABS(MIN((DC17-DC16),0))</f>
        <v>8.7779141809706015E-5</v>
      </c>
      <c r="DD35" s="37">
        <f>ABS(MIN((DD17-DD16),0))</f>
        <v>1.9478905188543699E-3</v>
      </c>
      <c r="DE35" s="37">
        <f>ABS(MIN((DE17-DE16),0))</f>
        <v>0</v>
      </c>
      <c r="DF35" s="37">
        <f>ABS(MIN((DF17-DF16),0))</f>
        <v>0</v>
      </c>
      <c r="DG35" s="37">
        <f>ABS(MIN((DG17-DG16),0))</f>
        <v>0</v>
      </c>
      <c r="DH35" s="37">
        <f>ABS(MIN((DH17-DH16),0))</f>
        <v>0</v>
      </c>
      <c r="DI35" s="37">
        <f>ABS(MIN((DI17-DI16),0))</f>
        <v>0</v>
      </c>
      <c r="DJ35" s="37">
        <f>ABS(MIN((DJ17-DJ16),0))</f>
        <v>0</v>
      </c>
      <c r="DK35" s="37">
        <f>ABS(MIN((DK17-DK16),0))</f>
        <v>0</v>
      </c>
      <c r="DL35" s="37">
        <f>ABS(MIN((DL17-DL16),0))</f>
        <v>0</v>
      </c>
      <c r="DM35" s="37">
        <f>ABS(MIN((DM17-DM16),0))</f>
        <v>4.63577713775132E-4</v>
      </c>
      <c r="DN35" s="37">
        <f>ABS(MIN((DN17-DN16),0))</f>
        <v>0</v>
      </c>
      <c r="DO35" s="37">
        <f>ABS(MIN((DO17-DO16),0))</f>
        <v>6.2865116205335992E-5</v>
      </c>
      <c r="DP35" s="37">
        <f>ABS(MIN((DP17-DP16),0))</f>
        <v>0</v>
      </c>
      <c r="DQ35" s="37">
        <f>ABS(MIN((DQ17-DQ16),0))</f>
        <v>0</v>
      </c>
      <c r="DR35" s="37">
        <f>ABS(MIN((DR17-DR16),0))</f>
        <v>0</v>
      </c>
      <c r="DS35" s="37">
        <f>ABS(MIN((DS17-DS16),0))</f>
        <v>2.6704975947336972E-4</v>
      </c>
    </row>
    <row r="36" spans="2:123">
      <c r="B36" s="37">
        <f>ABS(MIN((B18-B17),0))</f>
        <v>0</v>
      </c>
      <c r="C36" s="37">
        <f>ABS(MIN((C18-C17),0))</f>
        <v>0</v>
      </c>
      <c r="D36" s="37">
        <f>ABS(MIN((D18-D17),0))</f>
        <v>8.9823027224185002E-4</v>
      </c>
      <c r="E36" s="37">
        <f>ABS(MIN((E18-E17),0))</f>
        <v>0</v>
      </c>
      <c r="F36" s="37">
        <f>ABS(MIN((F18-F17),0))</f>
        <v>0</v>
      </c>
      <c r="G36" s="37">
        <f>ABS(MIN((G18-G17),0))</f>
        <v>0</v>
      </c>
      <c r="H36" s="37">
        <f>ABS(MIN((H18-H17),0))</f>
        <v>1.4251194127375003E-4</v>
      </c>
      <c r="I36" s="37">
        <f>ABS(MIN((I18-I17),0))</f>
        <v>1.5327505339478697E-3</v>
      </c>
      <c r="J36" s="37">
        <f>ABS(MIN((J18-J17),0))</f>
        <v>0</v>
      </c>
      <c r="K36" s="37">
        <f>ABS(MIN((K18-K17),0))</f>
        <v>0</v>
      </c>
      <c r="L36" s="37">
        <f>ABS(MIN((L18-L17),0))</f>
        <v>2.05057538016555E-4</v>
      </c>
      <c r="M36" s="37">
        <f>ABS(MIN((M18-M17),0))</f>
        <v>6.8365620834547969E-5</v>
      </c>
      <c r="N36" s="37">
        <f>ABS(MIN((N18-N17),0))</f>
        <v>0</v>
      </c>
      <c r="O36" s="37">
        <f>ABS(MIN((O18-O17),0))</f>
        <v>0</v>
      </c>
      <c r="P36" s="37">
        <f>ABS(MIN((P18-P17),0))</f>
        <v>2.8209420825807993E-4</v>
      </c>
      <c r="Q36" s="37">
        <f>ABS(MIN((Q18-Q17),0))</f>
        <v>6.7883895867499981E-4</v>
      </c>
      <c r="R36" s="37">
        <f>ABS(MIN((R18-R17),0))</f>
        <v>1.184256929210579E-4</v>
      </c>
      <c r="S36" s="37">
        <f>ABS(MIN((S18-S17),0))</f>
        <v>0</v>
      </c>
      <c r="T36" s="37">
        <f>ABS(MIN((T18-T17),0))</f>
        <v>0</v>
      </c>
      <c r="U36" s="37">
        <f>ABS(MIN((U18-U17),0))</f>
        <v>3.6583570355124603E-4</v>
      </c>
      <c r="V36" s="37">
        <f>ABS(MIN((V18-V17),0))</f>
        <v>4.9875246997102985E-4</v>
      </c>
      <c r="W36" s="37">
        <f>ABS(MIN((W18-W17),0))</f>
        <v>1.55960915864159E-4</v>
      </c>
      <c r="X36" s="37">
        <f>ABS(MIN((X18-X17),0))</f>
        <v>5.9733895914690274E-5</v>
      </c>
      <c r="Y36" s="37">
        <f>ABS(MIN((Y18-Y17),0))</f>
        <v>0</v>
      </c>
      <c r="Z36" s="37">
        <f>ABS(MIN((Z18-Z17),0))</f>
        <v>3.4957502813274047E-4</v>
      </c>
      <c r="AA36" s="37">
        <f>ABS(MIN((AA18-AA17),0))</f>
        <v>4.0915162609900095E-4</v>
      </c>
      <c r="AB36" s="37">
        <f>ABS(MIN((AB18-AB17),0))</f>
        <v>6.777575352795702E-4</v>
      </c>
      <c r="AC36" s="37">
        <f>ABS(MIN((AC18-AC17),0))</f>
        <v>0</v>
      </c>
      <c r="AD36" s="37">
        <f>ABS(MIN((AD18-AD17),0))</f>
        <v>1.6790376259838606E-3</v>
      </c>
      <c r="AE36" s="37">
        <f>ABS(MIN((AE18-AE17),0))</f>
        <v>0</v>
      </c>
      <c r="AF36" s="37">
        <f>ABS(MIN((AF18-AF17),0))</f>
        <v>0</v>
      </c>
      <c r="AG36" s="37">
        <f>ABS(MIN((AG18-AG17),0))</f>
        <v>0</v>
      </c>
      <c r="AH36" s="37">
        <f>ABS(MIN((AH18-AH17),0))</f>
        <v>0</v>
      </c>
      <c r="AI36" s="37">
        <f>ABS(MIN((AI18-AI17),0))</f>
        <v>0</v>
      </c>
      <c r="AJ36" s="37">
        <f>ABS(MIN((AJ18-AJ17),0))</f>
        <v>4.2560892395305042E-4</v>
      </c>
      <c r="AK36" s="37">
        <f>ABS(MIN((AK18-AK17),0))</f>
        <v>7.500162803376698E-4</v>
      </c>
      <c r="AL36" s="37">
        <f>ABS(MIN((AL18-AL17),0))</f>
        <v>0</v>
      </c>
      <c r="AM36" s="37">
        <f>ABS(MIN((AM18-AM17),0))</f>
        <v>1.5346381093290003E-3</v>
      </c>
      <c r="AN36" s="37">
        <f>ABS(MIN((AN18-AN17),0))</f>
        <v>0</v>
      </c>
      <c r="AO36" s="37">
        <f>ABS(MIN((AO18-AO17),0))</f>
        <v>6.4511821098121955E-5</v>
      </c>
      <c r="AP36" s="37">
        <f>ABS(MIN((AP18-AP17),0))</f>
        <v>2.6768178373356988E-4</v>
      </c>
      <c r="AQ36" s="37">
        <f>ABS(MIN((AQ18-AQ17),0))</f>
        <v>6.4511821098121955E-5</v>
      </c>
      <c r="AR36" s="37">
        <f>ABS(MIN((AR18-AR17),0))</f>
        <v>0</v>
      </c>
      <c r="AS36" s="37">
        <f>ABS(MIN((AS18-AS17),0))</f>
        <v>7.6149903057273489E-4</v>
      </c>
      <c r="AT36" s="37">
        <f>ABS(MIN((AT18-AT17),0))</f>
        <v>0</v>
      </c>
      <c r="AU36" s="37">
        <f>ABS(MIN((AU18-AU17),0))</f>
        <v>0</v>
      </c>
      <c r="AV36" s="37">
        <f>ABS(MIN((AV18-AV17),0))</f>
        <v>6.4311266213878992E-4</v>
      </c>
      <c r="AW36" s="37">
        <f>ABS(MIN((AW18-AW17),0))</f>
        <v>0</v>
      </c>
      <c r="AX36" s="37">
        <f>ABS(MIN((AX18-AX17),0))</f>
        <v>3.6198190381482099E-4</v>
      </c>
      <c r="AY36" s="37">
        <f>ABS(MIN((AY18-AY17),0))</f>
        <v>0</v>
      </c>
      <c r="AZ36" s="37">
        <f>ABS(MIN((AZ18-AZ17),0))</f>
        <v>0</v>
      </c>
      <c r="BA36" s="37">
        <f>ABS(MIN((BA18-BA17),0))</f>
        <v>5.0060072086503798E-5</v>
      </c>
      <c r="BB36" s="37">
        <f>ABS(MIN((BB18-BB17),0))</f>
        <v>1.0590084377765498E-4</v>
      </c>
      <c r="BC36" s="37">
        <f>ABS(MIN((BC18-BC17),0))</f>
        <v>0</v>
      </c>
      <c r="BD36" s="37">
        <f>ABS(MIN((BD18-BD17),0))</f>
        <v>1.0108359410711511E-4</v>
      </c>
      <c r="BE36" s="37">
        <f>ABS(MIN((BE18-BE17),0))</f>
        <v>3.2637358073993989E-4</v>
      </c>
      <c r="BF36" s="37">
        <f>ABS(MIN((BF18-BF17),0))</f>
        <v>6.2480711339074992E-4</v>
      </c>
      <c r="BG36" s="37">
        <f>ABS(MIN((BG18-BG17),0))</f>
        <v>2.8787490786271971E-4</v>
      </c>
      <c r="BH36" s="37">
        <f>ABS(MIN((BH18-BH17),0))</f>
        <v>4.0240747656024626E-4</v>
      </c>
      <c r="BI36" s="37">
        <f>ABS(MIN((BI18-BI17),0))</f>
        <v>0</v>
      </c>
      <c r="BJ36" s="37">
        <f>ABS(MIN((BJ18-BJ17),0))</f>
        <v>0</v>
      </c>
      <c r="BK36" s="37">
        <f>ABS(MIN((BK18-BK17),0))</f>
        <v>0</v>
      </c>
      <c r="BL36" s="37">
        <f>ABS(MIN((BL18-BL17),0))</f>
        <v>0</v>
      </c>
      <c r="BM36" s="37">
        <f>ABS(MIN((BM18-BM17),0))</f>
        <v>0</v>
      </c>
      <c r="BN36" s="37">
        <f>ABS(MIN((BN18-BN17),0))</f>
        <v>0</v>
      </c>
      <c r="BO36" s="37">
        <f>ABS(MIN((BO18-BO17),0))</f>
        <v>0</v>
      </c>
      <c r="BP36" s="37">
        <f>ABS(MIN((BP18-BP17),0))</f>
        <v>0</v>
      </c>
      <c r="BQ36" s="37">
        <f>ABS(MIN((BQ18-BQ17),0))</f>
        <v>4.7287695745499431E-5</v>
      </c>
      <c r="BR36" s="37">
        <f>ABS(MIN((BR18-BR17),0))</f>
        <v>0</v>
      </c>
      <c r="BS36" s="37">
        <f>ABS(MIN((BS18-BS17),0))</f>
        <v>2.4845210953851945E-4</v>
      </c>
      <c r="BT36" s="37">
        <f>ABS(MIN((BT18-BT17),0))</f>
        <v>0</v>
      </c>
      <c r="BU36" s="37">
        <f>ABS(MIN((BU18-BU17),0))</f>
        <v>0</v>
      </c>
      <c r="BV36" s="37">
        <f>ABS(MIN((BV18-BV17),0))</f>
        <v>0</v>
      </c>
      <c r="BW36" s="37">
        <f>ABS(MIN((BW18-BW17),0))</f>
        <v>0</v>
      </c>
      <c r="BX36" s="37">
        <f>ABS(MIN((BX18-BX17),0))</f>
        <v>0</v>
      </c>
      <c r="BY36" s="37">
        <f>ABS(MIN((BY18-BY17),0))</f>
        <v>0</v>
      </c>
      <c r="BZ36" s="37">
        <f>ABS(MIN((BZ18-BZ17),0))</f>
        <v>2.8598733248162006E-4</v>
      </c>
      <c r="CA36" s="37">
        <f>ABS(MIN((CA18-CA17),0))</f>
        <v>0</v>
      </c>
      <c r="CB36" s="37">
        <f>ABS(MIN((CB18-CB17),0))</f>
        <v>2.890349802323988E-5</v>
      </c>
      <c r="CC36" s="37">
        <f>ABS(MIN((CC18-CC17),0))</f>
        <v>0</v>
      </c>
      <c r="CD36" s="37">
        <f>ABS(MIN((CD18-CD17),0))</f>
        <v>9.7430349254927018E-4</v>
      </c>
      <c r="CE36" s="37">
        <f>ABS(MIN((CE18-CE17),0))</f>
        <v>0</v>
      </c>
      <c r="CF36" s="37">
        <f>ABS(MIN((CF18-CF17),0))</f>
        <v>0</v>
      </c>
      <c r="CG36" s="37">
        <f>ABS(MIN((CG18-CG17),0))</f>
        <v>4.4387514821399039E-4</v>
      </c>
      <c r="CH36" s="37">
        <f>ABS(MIN((CH18-CH17),0))</f>
        <v>5.9694571427582012E-5</v>
      </c>
      <c r="CI36" s="37">
        <f>ABS(MIN((CI18-CI17),0))</f>
        <v>6.4893268623054945E-4</v>
      </c>
      <c r="CJ36" s="37">
        <f>ABS(MIN((CJ18-CJ17),0))</f>
        <v>6.5960928447989994E-4</v>
      </c>
      <c r="CK36" s="37">
        <f>ABS(MIN((CK18-CK17),0))</f>
        <v>0</v>
      </c>
      <c r="CL36" s="37">
        <f>ABS(MIN((CL18-CL17),0))</f>
        <v>5.0545729502268983E-4</v>
      </c>
      <c r="CM36" s="37">
        <f>ABS(MIN((CM18-CM17),0))</f>
        <v>0</v>
      </c>
      <c r="CN36" s="37">
        <f>ABS(MIN((CN18-CN17),0))</f>
        <v>0</v>
      </c>
      <c r="CO36" s="37">
        <f>ABS(MIN((CO18-CO17),0))</f>
        <v>7.5583630442940981E-4</v>
      </c>
      <c r="CP36" s="37">
        <f>ABS(MIN((CP18-CP17),0))</f>
        <v>2.6667900931234985E-4</v>
      </c>
      <c r="CQ36" s="37">
        <f>ABS(MIN((CQ18-CQ17),0))</f>
        <v>7.0204040606780191E-4</v>
      </c>
      <c r="CR36" s="37">
        <f>ABS(MIN((CR18-CR17),0))</f>
        <v>5.3913871822936025E-5</v>
      </c>
      <c r="CS36" s="37">
        <f>ABS(MIN((CS18-CS17),0))</f>
        <v>0</v>
      </c>
      <c r="CT36" s="37">
        <f>ABS(MIN((CT18-CT17),0))</f>
        <v>0</v>
      </c>
      <c r="CU36" s="37">
        <f>ABS(MIN((CU18-CU17),0))</f>
        <v>3.3990120430454993E-4</v>
      </c>
      <c r="CV36" s="37">
        <f>ABS(MIN((CV18-CV17),0))</f>
        <v>0</v>
      </c>
      <c r="CW36" s="37">
        <f>ABS(MIN((CW18-CW17),0))</f>
        <v>1.0493739384354696E-4</v>
      </c>
      <c r="CX36" s="37">
        <f>ABS(MIN((CX18-CX17),0))</f>
        <v>1.8099881680483203E-3</v>
      </c>
      <c r="CY36" s="37">
        <f>ABS(MIN((CY18-CY17),0))</f>
        <v>0</v>
      </c>
      <c r="CZ36" s="37">
        <f>ABS(MIN((CZ18-CZ17),0))</f>
        <v>1.7426646461220999E-4</v>
      </c>
      <c r="DA36" s="37">
        <f>ABS(MIN((DA18-DA17),0))</f>
        <v>0</v>
      </c>
      <c r="DB36" s="37">
        <f>ABS(MIN((DB18-DB17),0))</f>
        <v>4.5921169818550502E-4</v>
      </c>
      <c r="DC36" s="37">
        <f>ABS(MIN((DC18-DC17),0))</f>
        <v>0</v>
      </c>
      <c r="DD36" s="37">
        <f>ABS(MIN((DD18-DD17),0))</f>
        <v>6.2103196262853003E-4</v>
      </c>
      <c r="DE36" s="37">
        <f>ABS(MIN((DE18-DE17),0))</f>
        <v>4.6788274759247401E-4</v>
      </c>
      <c r="DF36" s="37">
        <f>ABS(MIN((DF18-DF17),0))</f>
        <v>2.3396103603979005E-4</v>
      </c>
      <c r="DG36" s="37">
        <f>ABS(MIN((DG18-DG17),0))</f>
        <v>1.5643870838250138E-3</v>
      </c>
      <c r="DH36" s="37">
        <f>ABS(MIN((DH18-DH17),0))</f>
        <v>5.1312557000843403E-4</v>
      </c>
      <c r="DI36" s="37">
        <f>ABS(MIN((DI18-DI17),0))</f>
        <v>1.0108359410711511E-4</v>
      </c>
      <c r="DJ36" s="37">
        <f>ABS(MIN((DJ18-DJ17),0))</f>
        <v>5.4031845284260513E-5</v>
      </c>
      <c r="DK36" s="37">
        <f>ABS(MIN((DK18-DK17),0))</f>
        <v>0</v>
      </c>
      <c r="DL36" s="37">
        <f>ABS(MIN((DL18-DL17),0))</f>
        <v>3.2926393054226E-4</v>
      </c>
      <c r="DM36" s="37">
        <f>ABS(MIN((DM18-DM17),0))</f>
        <v>0</v>
      </c>
      <c r="DN36" s="37">
        <f>ABS(MIN((DN18-DN17),0))</f>
        <v>0</v>
      </c>
      <c r="DO36" s="37">
        <f>ABS(MIN((DO18-DO17),0))</f>
        <v>0</v>
      </c>
      <c r="DP36" s="37">
        <f>ABS(MIN((DP18-DP17),0))</f>
        <v>2.8691145792862009E-4</v>
      </c>
      <c r="DQ36" s="37">
        <f>ABS(MIN((DQ18-DQ17),0))</f>
        <v>0</v>
      </c>
      <c r="DR36" s="37">
        <f>ABS(MIN((DR18-DR17),0))</f>
        <v>0</v>
      </c>
      <c r="DS36" s="37">
        <f>ABS(MIN((DS18-DS17),0))</f>
        <v>0</v>
      </c>
    </row>
    <row r="37" spans="2:123">
      <c r="B37" s="37">
        <f>ABS(MIN((B19-B18),0))</f>
        <v>1.6158225475608801E-3</v>
      </c>
      <c r="C37" s="37">
        <f>ABS(MIN((C19-C18),0))</f>
        <v>2.5436509371799983E-4</v>
      </c>
      <c r="D37" s="37">
        <f>ABS(MIN((D19-D18),0))</f>
        <v>3.5115646418407967E-4</v>
      </c>
      <c r="E37" s="37">
        <f>ABS(MIN((E19-E18),0))</f>
        <v>3.2497090930730995E-4</v>
      </c>
      <c r="F37" s="37">
        <f>ABS(MIN((F19-F18),0))</f>
        <v>2.0963445503380501E-4</v>
      </c>
      <c r="G37" s="37">
        <f>ABS(MIN((G19-G18),0))</f>
        <v>0</v>
      </c>
      <c r="H37" s="37">
        <f>ABS(MIN((H19-H18),0))</f>
        <v>1.5835484114732007E-4</v>
      </c>
      <c r="I37" s="37">
        <f>ABS(MIN((I19-I18),0))</f>
        <v>0</v>
      </c>
      <c r="J37" s="37">
        <f>ABS(MIN((J19-J18),0))</f>
        <v>0</v>
      </c>
      <c r="K37" s="37">
        <f>ABS(MIN((K19-K18),0))</f>
        <v>5.5938904537916005E-4</v>
      </c>
      <c r="L37" s="37">
        <f>ABS(MIN((L19-L18),0))</f>
        <v>0</v>
      </c>
      <c r="M37" s="37">
        <f>ABS(MIN((M19-M18),0))</f>
        <v>0</v>
      </c>
      <c r="N37" s="37">
        <f>ABS(MIN((N19-N18),0))</f>
        <v>1.547699755744896E-4</v>
      </c>
      <c r="O37" s="37">
        <f>ABS(MIN((O19-O18),0))</f>
        <v>1.3435227800463983E-4</v>
      </c>
      <c r="P37" s="37">
        <f>ABS(MIN((P19-P18),0))</f>
        <v>0</v>
      </c>
      <c r="Q37" s="37">
        <f>ABS(MIN((Q19-Q18),0))</f>
        <v>1.707466816663371E-3</v>
      </c>
      <c r="R37" s="37">
        <f>ABS(MIN((R19-R18),0))</f>
        <v>3.7250529566895067E-5</v>
      </c>
      <c r="S37" s="37">
        <f>ABS(MIN((S19-S18),0))</f>
        <v>4.0383795190929985E-4</v>
      </c>
      <c r="T37" s="37">
        <f>ABS(MIN((T19-T18),0))</f>
        <v>0</v>
      </c>
      <c r="U37" s="37">
        <f>ABS(MIN((U19-U18),0))</f>
        <v>2.5873107718620101E-4</v>
      </c>
      <c r="V37" s="37">
        <f>ABS(MIN((V19-V18),0))</f>
        <v>1.0847710109954025E-4</v>
      </c>
      <c r="W37" s="37">
        <f>ABS(MIN((W19-W18),0))</f>
        <v>0</v>
      </c>
      <c r="X37" s="37">
        <f>ABS(MIN((X19-X18),0))</f>
        <v>0</v>
      </c>
      <c r="Y37" s="37">
        <f>ABS(MIN((Y19-Y18),0))</f>
        <v>1.3793714357744993E-4</v>
      </c>
      <c r="Z37" s="37">
        <f>ABS(MIN((Z19-Z18),0))</f>
        <v>4.4529410299235048E-4</v>
      </c>
      <c r="AA37" s="37">
        <f>ABS(MIN((AA19-AA18),0))</f>
        <v>2.0417697569857026E-5</v>
      </c>
      <c r="AB37" s="37">
        <f>ABS(MIN((AB19-AB18),0))</f>
        <v>0</v>
      </c>
      <c r="AC37" s="37">
        <f>ABS(MIN((AC19-AC18),0))</f>
        <v>0</v>
      </c>
      <c r="AD37" s="37">
        <f>ABS(MIN((AD19-AD18),0))</f>
        <v>0</v>
      </c>
      <c r="AE37" s="37">
        <f>ABS(MIN((AE19-AE18),0))</f>
        <v>0</v>
      </c>
      <c r="AF37" s="37">
        <f>ABS(MIN((AF19-AF18),0))</f>
        <v>1.3544377387168295E-4</v>
      </c>
      <c r="AG37" s="37">
        <f>ABS(MIN((AG19-AG18),0))</f>
        <v>5.4255621338211702E-4</v>
      </c>
      <c r="AH37" s="37">
        <f>ABS(MIN((AH19-AH18),0))</f>
        <v>0</v>
      </c>
      <c r="AI37" s="37">
        <f>ABS(MIN((AI19-AI18),0))</f>
        <v>4.4139885944786007E-4</v>
      </c>
      <c r="AJ37" s="37">
        <f>ABS(MIN((AJ19-AJ18),0))</f>
        <v>6.9296020548841996E-4</v>
      </c>
      <c r="AK37" s="37">
        <f>ABS(MIN((AK19-AK18),0))</f>
        <v>0</v>
      </c>
      <c r="AL37" s="37">
        <f>ABS(MIN((AL19-AL18),0))</f>
        <v>3.1141256491141404E-4</v>
      </c>
      <c r="AM37" s="37">
        <f>ABS(MIN((AM19-AM18),0))</f>
        <v>2.9551086682939008E-4</v>
      </c>
      <c r="AN37" s="37">
        <f>ABS(MIN((AN19-AN18),0))</f>
        <v>0</v>
      </c>
      <c r="AO37" s="37">
        <f>ABS(MIN((AO19-AO18),0))</f>
        <v>2.0963445503380501E-4</v>
      </c>
      <c r="AP37" s="37">
        <f>ABS(MIN((AP19-AP18),0))</f>
        <v>1.1187780907583301E-3</v>
      </c>
      <c r="AQ37" s="37">
        <f>ABS(MIN((AQ19-AQ18),0))</f>
        <v>0</v>
      </c>
      <c r="AR37" s="37">
        <f>ABS(MIN((AR19-AR18),0))</f>
        <v>1.2156470557169981E-5</v>
      </c>
      <c r="AS37" s="37">
        <f>ABS(MIN((AS19-AS18),0))</f>
        <v>0</v>
      </c>
      <c r="AT37" s="37">
        <f>ABS(MIN((AT19-AT18),0))</f>
        <v>0</v>
      </c>
      <c r="AU37" s="37">
        <f>ABS(MIN((AU19-AU18),0))</f>
        <v>6.5399742411114E-4</v>
      </c>
      <c r="AV37" s="37">
        <f>ABS(MIN((AV19-AV18),0))</f>
        <v>4.744437674986E-4</v>
      </c>
      <c r="AW37" s="37">
        <f>ABS(MIN((AW19-AW18),0))</f>
        <v>6.5150405440536705E-4</v>
      </c>
      <c r="AX37" s="37">
        <f>ABS(MIN((AX19-AX18),0))</f>
        <v>6.2344588576617984E-5</v>
      </c>
      <c r="AY37" s="37">
        <f>ABS(MIN((AY19-AY18),0))</f>
        <v>5.9882256668015413E-4</v>
      </c>
      <c r="AZ37" s="37">
        <f>ABS(MIN((AZ19-AZ18),0))</f>
        <v>2.5405471574633013E-4</v>
      </c>
      <c r="BA37" s="37">
        <f>ABS(MIN((BA19-BA18),0))</f>
        <v>0</v>
      </c>
      <c r="BB37" s="37">
        <f>ABS(MIN((BB19-BB18),0))</f>
        <v>0</v>
      </c>
      <c r="BC37" s="37">
        <f>ABS(MIN((BC19-BC18),0))</f>
        <v>5.065471957019195E-4</v>
      </c>
      <c r="BD37" s="37">
        <f>ABS(MIN((BD19-BD18),0))</f>
        <v>0</v>
      </c>
      <c r="BE37" s="37">
        <f>ABS(MIN((BE19-BE18),0))</f>
        <v>0</v>
      </c>
      <c r="BF37" s="37">
        <f>ABS(MIN((BF19-BF18),0))</f>
        <v>0</v>
      </c>
      <c r="BG37" s="37">
        <f>ABS(MIN((BG19-BG18),0))</f>
        <v>0</v>
      </c>
      <c r="BH37" s="37">
        <f>ABS(MIN((BH19-BH18),0))</f>
        <v>0</v>
      </c>
      <c r="BI37" s="37">
        <f>ABS(MIN((BI19-BI18),0))</f>
        <v>4.0383795190929985E-4</v>
      </c>
      <c r="BJ37" s="37">
        <f>ABS(MIN((BJ19-BJ18),0))</f>
        <v>1.0470807793019799E-3</v>
      </c>
      <c r="BK37" s="37">
        <f>ABS(MIN((BK19-BK18),0))</f>
        <v>5.6437578479070008E-4</v>
      </c>
      <c r="BL37" s="37">
        <f>ABS(MIN((BL19-BL18),0))</f>
        <v>2.1680418617944005E-4</v>
      </c>
      <c r="BM37" s="37">
        <f>ABS(MIN((BM19-BM18),0))</f>
        <v>0</v>
      </c>
      <c r="BN37" s="37">
        <f>ABS(MIN((BN19-BN18),0))</f>
        <v>6.0131593638592003E-4</v>
      </c>
      <c r="BO37" s="37">
        <f>ABS(MIN((BO19-BO18),0))</f>
        <v>8.277832234167698E-4</v>
      </c>
      <c r="BP37" s="37">
        <f>ABS(MIN((BP19-BP18),0))</f>
        <v>9.0665026601875016E-4</v>
      </c>
      <c r="BQ37" s="37">
        <f>ABS(MIN((BQ19-BQ18),0))</f>
        <v>1.9802269781691705E-3</v>
      </c>
      <c r="BR37" s="37">
        <f>ABS(MIN((BR19-BR18),0))</f>
        <v>1.7269430343857996E-4</v>
      </c>
      <c r="BS37" s="37">
        <f>ABS(MIN((BS19-BS18),0))</f>
        <v>7.4065495380210011E-4</v>
      </c>
      <c r="BT37" s="37">
        <f>ABS(MIN((BT19-BT18),0))</f>
        <v>1.2936553859310105E-4</v>
      </c>
      <c r="BU37" s="37">
        <f>ABS(MIN((BU19-BU18),0))</f>
        <v>6.8548009637112032E-4</v>
      </c>
      <c r="BV37" s="37">
        <f>ABS(MIN((BV19-BV18),0))</f>
        <v>1.91710127169718E-4</v>
      </c>
      <c r="BW37" s="37">
        <f>ABS(MIN((BW19-BW18),0))</f>
        <v>0</v>
      </c>
      <c r="BX37" s="37">
        <f>ABS(MIN((BX19-BX18),0))</f>
        <v>8.4025007194561078E-4</v>
      </c>
      <c r="BY37" s="37">
        <f>ABS(MIN((BY19-BY18),0))</f>
        <v>1.5408507485033798E-3</v>
      </c>
      <c r="BZ37" s="37">
        <f>ABS(MIN((BZ19-BZ18),0))</f>
        <v>1.0239886582094973E-4</v>
      </c>
      <c r="CA37" s="37">
        <f>ABS(MIN((CA19-CA18),0))</f>
        <v>6.1097903723732997E-4</v>
      </c>
      <c r="CB37" s="37">
        <f>ABS(MIN((CB19-CB18),0))</f>
        <v>0</v>
      </c>
      <c r="CC37" s="37">
        <f>ABS(MIN((CC19-CC18),0))</f>
        <v>2.6948567390465303E-4</v>
      </c>
      <c r="CD37" s="37">
        <f>ABS(MIN((CD19-CD18),0))</f>
        <v>0</v>
      </c>
      <c r="CE37" s="37">
        <f>ABS(MIN((CE19-CE18),0))</f>
        <v>0</v>
      </c>
      <c r="CF37" s="37">
        <f>ABS(MIN((CF19-CF18),0))</f>
        <v>3.4616972477253692E-4</v>
      </c>
      <c r="CG37" s="37">
        <f>ABS(MIN((CG19-CG18),0))</f>
        <v>0</v>
      </c>
      <c r="CH37" s="37">
        <f>ABS(MIN((CH19-CH18),0))</f>
        <v>0</v>
      </c>
      <c r="CI37" s="37">
        <f>ABS(MIN((CI19-CI18),0))</f>
        <v>6.3529197835168055E-4</v>
      </c>
      <c r="CJ37" s="37">
        <f>ABS(MIN((CJ19-CJ18),0))</f>
        <v>2.2303243747770138E-4</v>
      </c>
      <c r="CK37" s="37">
        <f>ABS(MIN((CK19-CK18),0))</f>
        <v>0</v>
      </c>
      <c r="CL37" s="37">
        <f>ABS(MIN((CL19-CL18),0))</f>
        <v>0</v>
      </c>
      <c r="CM37" s="37">
        <f>ABS(MIN((CM19-CM18),0))</f>
        <v>2.7180678383615028E-3</v>
      </c>
      <c r="CN37" s="37">
        <f>ABS(MIN((CN19-CN18),0))</f>
        <v>5.6905214623056001E-4</v>
      </c>
      <c r="CO37" s="37">
        <f>ABS(MIN((CO19-CO18),0))</f>
        <v>1.7935035904109902E-3</v>
      </c>
      <c r="CP37" s="37">
        <f>ABS(MIN((CP19-CP18),0))</f>
        <v>9.7101748437743033E-5</v>
      </c>
      <c r="CQ37" s="37">
        <f>ABS(MIN((CQ19-CQ18),0))</f>
        <v>5.6374468291499856E-4</v>
      </c>
      <c r="CR37" s="37">
        <f>ABS(MIN((CR19-CR18),0))</f>
        <v>9.1023513159156999E-5</v>
      </c>
      <c r="CS37" s="37">
        <f>ABS(MIN((CS19-CS18),0))</f>
        <v>4.7693713720436005E-4</v>
      </c>
      <c r="CT37" s="37">
        <f>ABS(MIN((CT19-CT18),0))</f>
        <v>1.1234544521981902E-3</v>
      </c>
      <c r="CU37" s="37">
        <f>ABS(MIN((CU19-CU18),0))</f>
        <v>0</v>
      </c>
      <c r="CV37" s="37">
        <f>ABS(MIN((CV19-CV18),0))</f>
        <v>3.6658742234239004E-4</v>
      </c>
      <c r="CW37" s="37">
        <f>ABS(MIN((CW19-CW18),0))</f>
        <v>0</v>
      </c>
      <c r="CX37" s="37">
        <f>ABS(MIN((CX19-CX18),0))</f>
        <v>5.1839328828741892E-4</v>
      </c>
      <c r="CY37" s="37">
        <f>ABS(MIN((CY19-CY18),0))</f>
        <v>4.9486146506844998E-4</v>
      </c>
      <c r="CZ37" s="37">
        <f>ABS(MIN((CZ19-CZ18),0))</f>
        <v>2.2646728703084001E-4</v>
      </c>
      <c r="DA37" s="37">
        <f>ABS(MIN((DA19-DA18),0))</f>
        <v>0</v>
      </c>
      <c r="DB37" s="37">
        <f>ABS(MIN((DB19-DB18),0))</f>
        <v>0</v>
      </c>
      <c r="DC37" s="37">
        <f>ABS(MIN((DC19-DC18),0))</f>
        <v>0</v>
      </c>
      <c r="DD37" s="37">
        <f>ABS(MIN((DD19-DD18),0))</f>
        <v>8.6892899652814964E-4</v>
      </c>
      <c r="DE37" s="37">
        <f>ABS(MIN((DE19-DE18),0))</f>
        <v>0</v>
      </c>
      <c r="DF37" s="37">
        <f>ABS(MIN((DF19-DF18),0))</f>
        <v>2.4330011902788011E-4</v>
      </c>
      <c r="DG37" s="37">
        <f>ABS(MIN((DG19-DG18),0))</f>
        <v>0</v>
      </c>
      <c r="DH37" s="37">
        <f>ABS(MIN((DH19-DH18),0))</f>
        <v>4.2753013708029305E-4</v>
      </c>
      <c r="DI37" s="37">
        <f>ABS(MIN((DI19-DI18),0))</f>
        <v>0</v>
      </c>
      <c r="DJ37" s="37">
        <f>ABS(MIN((DJ19-DJ18),0))</f>
        <v>1.2702735787316691E-3</v>
      </c>
      <c r="DK37" s="37">
        <f>ABS(MIN((DK19-DK18),0))</f>
        <v>0</v>
      </c>
      <c r="DL37" s="37">
        <f>ABS(MIN((DL19-DL18),0))</f>
        <v>5.0498495991110112E-5</v>
      </c>
      <c r="DM37" s="37">
        <f>ABS(MIN((DM19-DM18),0))</f>
        <v>2.3114364847071002E-4</v>
      </c>
      <c r="DN37" s="37">
        <f>ABS(MIN((DN19-DN18),0))</f>
        <v>4.5761093550156012E-4</v>
      </c>
      <c r="DO37" s="37">
        <f>ABS(MIN((DO19-DO18),0))</f>
        <v>0</v>
      </c>
      <c r="DP37" s="37">
        <f>ABS(MIN((DP19-DP18),0))</f>
        <v>0</v>
      </c>
      <c r="DQ37" s="37">
        <f>ABS(MIN((DQ19-DQ18),0))</f>
        <v>7.4673318908068977E-4</v>
      </c>
      <c r="DR37" s="37">
        <f>ABS(MIN((DR19-DR18),0))</f>
        <v>1.0035916525044115E-3</v>
      </c>
      <c r="DS37" s="37">
        <f>ABS(MIN((DS19-DS18),0))</f>
        <v>1.9989324239286298E-3</v>
      </c>
    </row>
  </sheetData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B1F5-0F95-45A0-8793-4E7135CA1013}">
  <dimension ref="A1:K123"/>
  <sheetViews>
    <sheetView zoomScale="115" zoomScaleNormal="115" workbookViewId="0">
      <selection activeCell="H20" sqref="H20"/>
    </sheetView>
  </sheetViews>
  <sheetFormatPr defaultColWidth="8.7265625" defaultRowHeight="14"/>
  <cols>
    <col min="1" max="1" width="8.7265625" style="15"/>
    <col min="2" max="2" width="8.7265625" style="23"/>
    <col min="3" max="5" width="8.7265625" style="15" customWidth="1"/>
    <col min="6" max="6" width="12.1796875" style="28" customWidth="1"/>
    <col min="7" max="8" width="10.54296875" style="27" customWidth="1"/>
    <col min="9" max="9" width="7.7265625" style="16" customWidth="1"/>
    <col min="10" max="10" width="8.7265625" style="16"/>
    <col min="11" max="16384" width="8.7265625" style="15"/>
  </cols>
  <sheetData>
    <row r="1" spans="1:11">
      <c r="A1" s="17" t="s">
        <v>0</v>
      </c>
      <c r="B1" s="22" t="s">
        <v>260</v>
      </c>
      <c r="C1" s="18" t="s">
        <v>1</v>
      </c>
      <c r="D1" s="18" t="s">
        <v>2</v>
      </c>
      <c r="E1" s="17" t="s">
        <v>460</v>
      </c>
      <c r="F1" s="26" t="s">
        <v>459</v>
      </c>
      <c r="G1" s="26" t="s">
        <v>3</v>
      </c>
      <c r="H1" s="29" t="s">
        <v>458</v>
      </c>
      <c r="I1" s="16" t="s">
        <v>4</v>
      </c>
      <c r="J1" s="16" t="s">
        <v>5</v>
      </c>
      <c r="K1" s="15" t="s">
        <v>6</v>
      </c>
    </row>
    <row r="2" spans="1:11">
      <c r="A2" s="15" t="s">
        <v>7</v>
      </c>
      <c r="B2" s="23" t="s">
        <v>272</v>
      </c>
      <c r="C2" s="15">
        <v>2144</v>
      </c>
      <c r="D2" s="19">
        <v>1.0822781091088401E-2</v>
      </c>
      <c r="E2" s="15">
        <f>LOG(1+1000*C2/133897)</f>
        <v>1.230763235999464</v>
      </c>
      <c r="F2" s="27">
        <f>(E2-MIN(E$2:E$123))*9/(MAX(E$2:E$123)-MIN(E$2:E$123))+1</f>
        <v>4.8234614110658232</v>
      </c>
      <c r="G2" s="27">
        <f t="shared" ref="G2:G33" si="0">(D2-MIN(D$2:D$123))*9/(MAX(D$2:D$123)-MIN(D$2:D$123))+1</f>
        <v>1.6390336810293733</v>
      </c>
      <c r="H2" s="30">
        <v>3.9188534852147598</v>
      </c>
      <c r="I2" s="20" t="s">
        <v>8</v>
      </c>
      <c r="J2" s="16">
        <f t="shared" ref="J2:J33" si="1">F2*G2*H2</f>
        <v>30.981733455975757</v>
      </c>
      <c r="K2" s="15">
        <f t="shared" ref="K2:K33" si="2">J2/SUM(J$2:J$123)</f>
        <v>2.5244082693221754E-3</v>
      </c>
    </row>
    <row r="3" spans="1:11">
      <c r="A3" s="15" t="s">
        <v>9</v>
      </c>
      <c r="B3" s="24" t="s">
        <v>450</v>
      </c>
      <c r="C3" s="15">
        <v>2028</v>
      </c>
      <c r="D3" s="19">
        <v>1.22472950555714E-2</v>
      </c>
      <c r="E3" s="15">
        <f t="shared" ref="E3:E66" si="3">LOG(1+1000*C3/133897)</f>
        <v>1.208064152238453</v>
      </c>
      <c r="F3" s="27">
        <f t="shared" ref="F3:F33" si="4">(E3-MIN(E$2:E$123))*9/(MAX(E$2:E$123)-MIN(E$2:E$123))+1</f>
        <v>4.7354986186078216</v>
      </c>
      <c r="G3" s="27">
        <f t="shared" si="0"/>
        <v>1.7257602940846848</v>
      </c>
      <c r="H3" s="30">
        <v>4.4441207606753101</v>
      </c>
      <c r="I3" s="20" t="s">
        <v>8</v>
      </c>
      <c r="J3" s="16">
        <f t="shared" si="1"/>
        <v>36.31884580847418</v>
      </c>
      <c r="K3" s="15">
        <f t="shared" si="2"/>
        <v>2.9592790481342583E-3</v>
      </c>
    </row>
    <row r="4" spans="1:11">
      <c r="A4" s="15" t="s">
        <v>10</v>
      </c>
      <c r="B4" s="24" t="s">
        <v>451</v>
      </c>
      <c r="C4" s="15">
        <v>1455</v>
      </c>
      <c r="D4" s="19">
        <v>7.6075413041718498E-3</v>
      </c>
      <c r="E4" s="15">
        <f t="shared" si="3"/>
        <v>1.0743248984170339</v>
      </c>
      <c r="F4" s="27">
        <f t="shared" si="4"/>
        <v>4.2172363684112764</v>
      </c>
      <c r="G4" s="27">
        <f t="shared" si="0"/>
        <v>1.4432849106891994</v>
      </c>
      <c r="H4" s="30">
        <v>3.6347396970563901</v>
      </c>
      <c r="I4" s="20" t="s">
        <v>8</v>
      </c>
      <c r="J4" s="16">
        <f t="shared" si="1"/>
        <v>22.123474212693718</v>
      </c>
      <c r="K4" s="15">
        <f t="shared" si="2"/>
        <v>1.8026325521139563E-3</v>
      </c>
    </row>
    <row r="5" spans="1:11">
      <c r="A5" s="15" t="s">
        <v>11</v>
      </c>
      <c r="B5" s="23" t="s">
        <v>276</v>
      </c>
      <c r="C5" s="15">
        <v>2541</v>
      </c>
      <c r="D5" s="19">
        <v>5.1027886244857804E-3</v>
      </c>
      <c r="E5" s="15">
        <f t="shared" si="3"/>
        <v>1.3005362170375085</v>
      </c>
      <c r="F5" s="27">
        <f t="shared" si="4"/>
        <v>5.0938435249363181</v>
      </c>
      <c r="G5" s="27">
        <f t="shared" si="0"/>
        <v>1.2907916941490394</v>
      </c>
      <c r="H5" s="30">
        <v>8.0911436337413001</v>
      </c>
      <c r="I5" s="20" t="s">
        <v>8</v>
      </c>
      <c r="J5" s="16">
        <f t="shared" si="1"/>
        <v>53.200004984277307</v>
      </c>
      <c r="K5" s="15">
        <f t="shared" si="2"/>
        <v>4.334764957587842E-3</v>
      </c>
    </row>
    <row r="6" spans="1:11">
      <c r="A6" s="15" t="s">
        <v>12</v>
      </c>
      <c r="B6" s="23" t="s">
        <v>463</v>
      </c>
      <c r="C6" s="15">
        <v>1905</v>
      </c>
      <c r="D6" s="19">
        <v>1.16554643433417E-2</v>
      </c>
      <c r="E6" s="15">
        <f t="shared" si="3"/>
        <v>1.1826244402255457</v>
      </c>
      <c r="F6" s="27">
        <f t="shared" si="4"/>
        <v>4.6369154276939071</v>
      </c>
      <c r="G6" s="27">
        <f t="shared" si="0"/>
        <v>1.6897287251049991</v>
      </c>
      <c r="H6" s="30">
        <v>10</v>
      </c>
      <c r="I6" s="20" t="s">
        <v>8</v>
      </c>
      <c r="J6" s="16">
        <f t="shared" si="1"/>
        <v>78.351291940569268</v>
      </c>
      <c r="K6" s="15">
        <f t="shared" si="2"/>
        <v>6.3841053170218629E-3</v>
      </c>
    </row>
    <row r="7" spans="1:11">
      <c r="A7" s="15" t="s">
        <v>13</v>
      </c>
      <c r="B7" s="24" t="s">
        <v>452</v>
      </c>
      <c r="C7" s="15">
        <v>2654</v>
      </c>
      <c r="D7" s="19">
        <v>2.2808235572677301E-2</v>
      </c>
      <c r="E7" s="15">
        <f t="shared" si="3"/>
        <v>1.3185058779034911</v>
      </c>
      <c r="F7" s="27">
        <f t="shared" si="4"/>
        <v>5.1634790029995381</v>
      </c>
      <c r="G7" s="27">
        <f t="shared" si="0"/>
        <v>2.3687266844209263</v>
      </c>
      <c r="H7" s="30">
        <v>6.5814169077603903</v>
      </c>
      <c r="I7" s="20" t="s">
        <v>8</v>
      </c>
      <c r="J7" s="16">
        <f t="shared" si="1"/>
        <v>80.496457897773411</v>
      </c>
      <c r="K7" s="15">
        <f t="shared" si="2"/>
        <v>6.5588945904861617E-3</v>
      </c>
    </row>
    <row r="8" spans="1:11">
      <c r="A8" s="15" t="s">
        <v>14</v>
      </c>
      <c r="B8" s="24" t="s">
        <v>453</v>
      </c>
      <c r="C8" s="15">
        <v>1429</v>
      </c>
      <c r="D8" s="19">
        <v>9.6910162100882092E-3</v>
      </c>
      <c r="E8" s="15">
        <f t="shared" si="3"/>
        <v>1.0671595109113323</v>
      </c>
      <c r="F8" s="27">
        <f t="shared" si="4"/>
        <v>4.1894692787489261</v>
      </c>
      <c r="G8" s="27">
        <f t="shared" si="0"/>
        <v>1.5701300848896773</v>
      </c>
      <c r="H8" s="30">
        <v>4.2618160329602599</v>
      </c>
      <c r="I8" s="20" t="s">
        <v>8</v>
      </c>
      <c r="J8" s="16">
        <f t="shared" si="1"/>
        <v>28.034275959411779</v>
      </c>
      <c r="K8" s="15">
        <f t="shared" si="2"/>
        <v>2.2842478506556528E-3</v>
      </c>
    </row>
    <row r="9" spans="1:11">
      <c r="A9" s="15" t="s">
        <v>15</v>
      </c>
      <c r="B9" s="23" t="s">
        <v>280</v>
      </c>
      <c r="C9" s="15">
        <v>10368</v>
      </c>
      <c r="D9" s="19">
        <v>4.5520117247208801E-2</v>
      </c>
      <c r="E9" s="15">
        <f t="shared" si="3"/>
        <v>1.8944969078885874</v>
      </c>
      <c r="F9" s="27">
        <f t="shared" si="4"/>
        <v>7.3955417576766811</v>
      </c>
      <c r="G9" s="27">
        <f t="shared" si="0"/>
        <v>3.7514611628856454</v>
      </c>
      <c r="H9" s="30">
        <v>9.0705934847080893</v>
      </c>
      <c r="I9" s="20" t="s">
        <v>8</v>
      </c>
      <c r="J9" s="16">
        <f t="shared" si="1"/>
        <v>251.65534097135702</v>
      </c>
      <c r="K9" s="15">
        <f t="shared" si="2"/>
        <v>2.0505012241161486E-2</v>
      </c>
    </row>
    <row r="10" spans="1:11">
      <c r="A10" s="15" t="s">
        <v>16</v>
      </c>
      <c r="B10" s="23" t="s">
        <v>281</v>
      </c>
      <c r="C10" s="15">
        <v>1027</v>
      </c>
      <c r="D10" s="19">
        <v>7.52524173618888E-3</v>
      </c>
      <c r="E10" s="15">
        <f t="shared" si="3"/>
        <v>0.93802284225848342</v>
      </c>
      <c r="F10" s="27">
        <f t="shared" si="4"/>
        <v>3.6890428252839036</v>
      </c>
      <c r="G10" s="27">
        <f t="shared" si="0"/>
        <v>1.4382743857206577</v>
      </c>
      <c r="H10" s="30">
        <v>10</v>
      </c>
      <c r="I10" s="20" t="s">
        <v>8</v>
      </c>
      <c r="J10" s="16">
        <f t="shared" si="1"/>
        <v>53.058558034324065</v>
      </c>
      <c r="K10" s="15">
        <f t="shared" si="2"/>
        <v>4.3232397841936627E-3</v>
      </c>
    </row>
    <row r="11" spans="1:11">
      <c r="A11" s="15" t="s">
        <v>17</v>
      </c>
      <c r="B11" s="23" t="s">
        <v>282</v>
      </c>
      <c r="C11" s="15">
        <v>936</v>
      </c>
      <c r="D11" s="19">
        <v>4.9182812439059701E-3</v>
      </c>
      <c r="E11" s="15">
        <f t="shared" si="3"/>
        <v>0.90257112312469068</v>
      </c>
      <c r="F11" s="27">
        <f t="shared" si="4"/>
        <v>3.5516614117749787</v>
      </c>
      <c r="G11" s="27">
        <f t="shared" si="0"/>
        <v>1.2795585994933463</v>
      </c>
      <c r="H11" s="30">
        <v>6.2384931028180901</v>
      </c>
      <c r="I11" s="20" t="s">
        <v>8</v>
      </c>
      <c r="J11" s="16">
        <f t="shared" si="1"/>
        <v>28.351199365011865</v>
      </c>
      <c r="K11" s="15">
        <f t="shared" si="2"/>
        <v>2.3100709398309388E-3</v>
      </c>
    </row>
    <row r="12" spans="1:11">
      <c r="A12" s="15" t="s">
        <v>18</v>
      </c>
      <c r="B12" s="23" t="s">
        <v>283</v>
      </c>
      <c r="C12" s="15">
        <v>964</v>
      </c>
      <c r="D12" s="19">
        <v>5.9598037818170196E-3</v>
      </c>
      <c r="E12" s="15">
        <f t="shared" si="3"/>
        <v>0.9137907517438475</v>
      </c>
      <c r="F12" s="27">
        <f t="shared" si="4"/>
        <v>3.5951393721223437</v>
      </c>
      <c r="G12" s="27">
        <f t="shared" si="0"/>
        <v>1.3429681022331668</v>
      </c>
      <c r="H12" s="30">
        <v>10</v>
      </c>
      <c r="I12" s="20" t="s">
        <v>8</v>
      </c>
      <c r="J12" s="16">
        <f t="shared" si="1"/>
        <v>48.281574998428823</v>
      </c>
      <c r="K12" s="15">
        <f t="shared" si="2"/>
        <v>3.9340086427095584E-3</v>
      </c>
    </row>
    <row r="13" spans="1:11">
      <c r="A13" s="15" t="s">
        <v>19</v>
      </c>
      <c r="B13" s="23" t="s">
        <v>284</v>
      </c>
      <c r="C13" s="15">
        <v>587</v>
      </c>
      <c r="D13" s="19">
        <v>4.4246142812771304E-3</v>
      </c>
      <c r="E13" s="15">
        <f t="shared" si="3"/>
        <v>0.73110237158776825</v>
      </c>
      <c r="F13" s="27">
        <f t="shared" si="4"/>
        <v>2.8871909704445704</v>
      </c>
      <c r="G13" s="27">
        <f t="shared" si="0"/>
        <v>1.249503391391795</v>
      </c>
      <c r="H13" s="30">
        <v>4.3121437729786196</v>
      </c>
      <c r="I13" s="20" t="s">
        <v>8</v>
      </c>
      <c r="J13" s="16">
        <f t="shared" si="1"/>
        <v>15.556295437239731</v>
      </c>
      <c r="K13" s="15">
        <f t="shared" si="2"/>
        <v>1.2675353010053192E-3</v>
      </c>
    </row>
    <row r="14" spans="1:11">
      <c r="A14" s="15" t="s">
        <v>20</v>
      </c>
      <c r="B14" s="24" t="s">
        <v>449</v>
      </c>
      <c r="C14" s="15">
        <v>1735</v>
      </c>
      <c r="D14" s="19">
        <v>4.1643290961841202E-3</v>
      </c>
      <c r="E14" s="15">
        <f t="shared" si="3"/>
        <v>1.1448145202566948</v>
      </c>
      <c r="F14" s="27">
        <f t="shared" si="4"/>
        <v>4.4903955867130865</v>
      </c>
      <c r="G14" s="27">
        <f t="shared" si="0"/>
        <v>1.2336568268129886</v>
      </c>
      <c r="H14" s="30">
        <v>7.2652682871372001</v>
      </c>
      <c r="I14" s="20" t="s">
        <v>8</v>
      </c>
      <c r="J14" s="16">
        <f t="shared" si="1"/>
        <v>40.246732300045096</v>
      </c>
      <c r="K14" s="15">
        <f t="shared" si="2"/>
        <v>3.2793253474922425E-3</v>
      </c>
    </row>
    <row r="15" spans="1:11">
      <c r="A15" s="15" t="s">
        <v>21</v>
      </c>
      <c r="B15" s="24" t="s">
        <v>454</v>
      </c>
      <c r="C15" s="15">
        <v>1839</v>
      </c>
      <c r="D15" s="19">
        <v>5.2326663369721103E-3</v>
      </c>
      <c r="E15" s="15">
        <f t="shared" si="3"/>
        <v>1.1683335657884795</v>
      </c>
      <c r="F15" s="27">
        <f t="shared" si="4"/>
        <v>4.5815358698498052</v>
      </c>
      <c r="G15" s="27">
        <f t="shared" si="0"/>
        <v>1.2986988501307632</v>
      </c>
      <c r="H15" s="30">
        <v>9.8877201032255204</v>
      </c>
      <c r="I15" s="20" t="s">
        <v>8</v>
      </c>
      <c r="J15" s="16">
        <f t="shared" si="1"/>
        <v>58.832284303368134</v>
      </c>
      <c r="K15" s="15">
        <f t="shared" si="2"/>
        <v>4.7936860992485826E-3</v>
      </c>
    </row>
    <row r="16" spans="1:11">
      <c r="A16" s="15" t="s">
        <v>22</v>
      </c>
      <c r="B16" s="23" t="s">
        <v>287</v>
      </c>
      <c r="C16" s="15">
        <v>2928</v>
      </c>
      <c r="D16" s="19">
        <v>5.6271278246449096E-3</v>
      </c>
      <c r="E16" s="15">
        <f t="shared" si="3"/>
        <v>1.3592197306249538</v>
      </c>
      <c r="F16" s="27">
        <f t="shared" si="4"/>
        <v>5.3212520750234882</v>
      </c>
      <c r="G16" s="27">
        <f t="shared" si="0"/>
        <v>1.3227142755036112</v>
      </c>
      <c r="H16" s="30">
        <v>10</v>
      </c>
      <c r="I16" s="20" t="s">
        <v>8</v>
      </c>
      <c r="J16" s="16">
        <f t="shared" si="1"/>
        <v>70.384960831867815</v>
      </c>
      <c r="K16" s="15">
        <f t="shared" si="2"/>
        <v>5.7350043829007746E-3</v>
      </c>
    </row>
    <row r="17" spans="1:11">
      <c r="A17" s="15" t="s">
        <v>23</v>
      </c>
      <c r="B17" s="23" t="s">
        <v>288</v>
      </c>
      <c r="C17" s="15">
        <v>6588</v>
      </c>
      <c r="D17" s="19">
        <v>4.13379557519701E-2</v>
      </c>
      <c r="E17" s="15">
        <f t="shared" si="3"/>
        <v>1.7007210068352263</v>
      </c>
      <c r="F17" s="27">
        <f t="shared" si="4"/>
        <v>6.6446273354392336</v>
      </c>
      <c r="G17" s="27">
        <f t="shared" si="0"/>
        <v>3.4968447036752748</v>
      </c>
      <c r="H17" s="30">
        <v>5.9162403066058502</v>
      </c>
      <c r="I17" s="20" t="s">
        <v>8</v>
      </c>
      <c r="J17" s="16">
        <f t="shared" si="1"/>
        <v>137.46520370210521</v>
      </c>
      <c r="K17" s="15">
        <f t="shared" si="2"/>
        <v>1.1200738572706261E-2</v>
      </c>
    </row>
    <row r="18" spans="1:11">
      <c r="A18" s="15" t="s">
        <v>24</v>
      </c>
      <c r="B18" s="23" t="s">
        <v>289</v>
      </c>
      <c r="C18" s="15">
        <v>732</v>
      </c>
      <c r="D18" s="19">
        <v>2.20029954928329E-3</v>
      </c>
      <c r="E18" s="15">
        <f t="shared" si="3"/>
        <v>0.81069538835185551</v>
      </c>
      <c r="F18" s="27">
        <f t="shared" si="4"/>
        <v>3.1956273852549009</v>
      </c>
      <c r="G18" s="27">
        <f t="shared" si="0"/>
        <v>1.1140836707821271</v>
      </c>
      <c r="H18" s="30">
        <v>7.3516831201976798</v>
      </c>
      <c r="I18" s="20" t="s">
        <v>8</v>
      </c>
      <c r="J18" s="16">
        <f t="shared" si="1"/>
        <v>26.173434953732258</v>
      </c>
      <c r="K18" s="15">
        <f t="shared" si="2"/>
        <v>2.1326255268335776E-3</v>
      </c>
    </row>
    <row r="19" spans="1:11">
      <c r="A19" s="15" t="s">
        <v>25</v>
      </c>
      <c r="B19" s="23" t="s">
        <v>290</v>
      </c>
      <c r="C19" s="15">
        <v>2067</v>
      </c>
      <c r="D19" s="19">
        <v>8.0815898070791398E-3</v>
      </c>
      <c r="E19" s="15">
        <f t="shared" si="3"/>
        <v>1.2158288718069741</v>
      </c>
      <c r="F19" s="27">
        <f t="shared" si="4"/>
        <v>4.7655882214786462</v>
      </c>
      <c r="G19" s="27">
        <f t="shared" si="0"/>
        <v>1.4721457166245147</v>
      </c>
      <c r="H19" s="30">
        <v>7.5255715422795797</v>
      </c>
      <c r="I19" s="20" t="s">
        <v>8</v>
      </c>
      <c r="J19" s="16">
        <f t="shared" si="1"/>
        <v>52.79670289807396</v>
      </c>
      <c r="K19" s="15">
        <f t="shared" si="2"/>
        <v>4.3019036871591457E-3</v>
      </c>
    </row>
    <row r="20" spans="1:11">
      <c r="A20" s="15" t="s">
        <v>26</v>
      </c>
      <c r="B20" s="23" t="s">
        <v>291</v>
      </c>
      <c r="C20" s="15">
        <v>625</v>
      </c>
      <c r="D20" s="19">
        <v>1.31947246441255E-3</v>
      </c>
      <c r="E20" s="15">
        <f t="shared" si="3"/>
        <v>0.75341198938704812</v>
      </c>
      <c r="F20" s="27">
        <f t="shared" si="4"/>
        <v>2.973644516365491</v>
      </c>
      <c r="G20" s="27">
        <f t="shared" si="0"/>
        <v>1.0604575557261422</v>
      </c>
      <c r="H20" s="30">
        <v>6.2443610871156796</v>
      </c>
      <c r="I20" s="20" t="s">
        <v>8</v>
      </c>
      <c r="J20" s="16">
        <f t="shared" si="1"/>
        <v>19.691116839326483</v>
      </c>
      <c r="K20" s="15">
        <f t="shared" si="2"/>
        <v>1.6044427679303124E-3</v>
      </c>
    </row>
    <row r="21" spans="1:11">
      <c r="A21" s="15" t="s">
        <v>27</v>
      </c>
      <c r="B21" s="23" t="s">
        <v>292</v>
      </c>
      <c r="C21" s="15">
        <v>653</v>
      </c>
      <c r="D21" s="19">
        <v>2.9910923936203098E-3</v>
      </c>
      <c r="E21" s="15">
        <f t="shared" si="3"/>
        <v>0.7691470429593732</v>
      </c>
      <c r="F21" s="27">
        <f t="shared" si="4"/>
        <v>3.0346205128537438</v>
      </c>
      <c r="G21" s="27">
        <f t="shared" si="0"/>
        <v>1.1622283620436245</v>
      </c>
      <c r="H21" s="30">
        <v>6.33458353559086</v>
      </c>
      <c r="I21" s="20" t="s">
        <v>8</v>
      </c>
      <c r="J21" s="16">
        <f t="shared" si="1"/>
        <v>22.341582210375559</v>
      </c>
      <c r="K21" s="15">
        <f t="shared" si="2"/>
        <v>1.820404108819643E-3</v>
      </c>
    </row>
    <row r="22" spans="1:11">
      <c r="A22" s="15" t="s">
        <v>28</v>
      </c>
      <c r="B22" s="23" t="s">
        <v>293</v>
      </c>
      <c r="C22" s="15">
        <v>6593</v>
      </c>
      <c r="D22" s="19">
        <v>2.5962454681660901E-2</v>
      </c>
      <c r="E22" s="15">
        <f t="shared" si="3"/>
        <v>1.7010439313308447</v>
      </c>
      <c r="F22" s="27">
        <f t="shared" si="4"/>
        <v>6.645878722529865</v>
      </c>
      <c r="G22" s="27">
        <f t="shared" si="0"/>
        <v>2.5607604215249156</v>
      </c>
      <c r="H22" s="30">
        <v>9.8177882127813696</v>
      </c>
      <c r="I22" s="20" t="s">
        <v>8</v>
      </c>
      <c r="J22" s="16">
        <f t="shared" si="1"/>
        <v>167.08406010543126</v>
      </c>
      <c r="K22" s="15">
        <f t="shared" si="2"/>
        <v>1.3614098888347369E-2</v>
      </c>
    </row>
    <row r="23" spans="1:11">
      <c r="A23" s="15" t="s">
        <v>29</v>
      </c>
      <c r="B23" s="23" t="s">
        <v>465</v>
      </c>
      <c r="C23" s="15">
        <v>232</v>
      </c>
      <c r="D23" s="19">
        <v>8.9463878683886003E-4</v>
      </c>
      <c r="E23" s="15">
        <f t="shared" si="3"/>
        <v>0.43658800207746956</v>
      </c>
      <c r="F23" s="27">
        <f t="shared" si="4"/>
        <v>1.7458979282279783</v>
      </c>
      <c r="G23" s="27">
        <f t="shared" si="0"/>
        <v>1.034593024463951</v>
      </c>
      <c r="H23" s="30">
        <v>2.7066110108447998</v>
      </c>
      <c r="I23" s="20" t="s">
        <v>8</v>
      </c>
      <c r="J23" s="16">
        <f t="shared" si="1"/>
        <v>4.8889347365404703</v>
      </c>
      <c r="K23" s="15">
        <f t="shared" si="2"/>
        <v>3.9835302613510585E-4</v>
      </c>
    </row>
    <row r="24" spans="1:11">
      <c r="A24" s="15" t="s">
        <v>30</v>
      </c>
      <c r="B24" s="23" t="s">
        <v>295</v>
      </c>
      <c r="C24" s="15">
        <v>2933</v>
      </c>
      <c r="D24" s="19">
        <v>1.2158222422723399E-2</v>
      </c>
      <c r="E24" s="15">
        <f t="shared" si="3"/>
        <v>1.3599283440622036</v>
      </c>
      <c r="F24" s="27">
        <f t="shared" si="4"/>
        <v>5.3239980720588758</v>
      </c>
      <c r="G24" s="27">
        <f t="shared" si="0"/>
        <v>1.7203374144531538</v>
      </c>
      <c r="H24" s="30">
        <v>8.8199532197160408</v>
      </c>
      <c r="I24" s="20" t="s">
        <v>8</v>
      </c>
      <c r="J24" s="16">
        <f t="shared" si="1"/>
        <v>80.782596082503602</v>
      </c>
      <c r="K24" s="15">
        <f t="shared" si="2"/>
        <v>6.5822092833431036E-3</v>
      </c>
    </row>
    <row r="25" spans="1:11">
      <c r="A25" s="15" t="s">
        <v>31</v>
      </c>
      <c r="B25" s="23" t="s">
        <v>296</v>
      </c>
      <c r="C25" s="15">
        <v>1205</v>
      </c>
      <c r="D25" s="19">
        <v>4.2088138631486303E-3</v>
      </c>
      <c r="E25" s="15">
        <f t="shared" si="3"/>
        <v>0.99997632182839047</v>
      </c>
      <c r="F25" s="27">
        <f t="shared" si="4"/>
        <v>3.9291230471481549</v>
      </c>
      <c r="G25" s="27">
        <f t="shared" si="0"/>
        <v>1.2363651282179431</v>
      </c>
      <c r="H25" s="30">
        <v>6.4579853246932597</v>
      </c>
      <c r="I25" s="20" t="s">
        <v>8</v>
      </c>
      <c r="J25" s="16">
        <f t="shared" si="1"/>
        <v>31.371799499419421</v>
      </c>
      <c r="K25" s="15">
        <f t="shared" si="2"/>
        <v>2.5561910598832708E-3</v>
      </c>
    </row>
    <row r="26" spans="1:11">
      <c r="A26" s="15" t="s">
        <v>32</v>
      </c>
      <c r="B26" s="23" t="s">
        <v>297</v>
      </c>
      <c r="C26" s="15">
        <v>6424</v>
      </c>
      <c r="D26" s="19">
        <v>2.9285208321400601E-2</v>
      </c>
      <c r="E26" s="15">
        <f t="shared" si="3"/>
        <v>1.6899937446163849</v>
      </c>
      <c r="F26" s="27">
        <f t="shared" si="4"/>
        <v>6.6030573782491873</v>
      </c>
      <c r="G26" s="27">
        <f t="shared" si="0"/>
        <v>2.7630548014865877</v>
      </c>
      <c r="H26" s="30">
        <v>7.7578335747599203</v>
      </c>
      <c r="I26" s="20" t="s">
        <v>8</v>
      </c>
      <c r="J26" s="16">
        <f t="shared" si="1"/>
        <v>141.53864331098637</v>
      </c>
      <c r="K26" s="15">
        <f t="shared" si="2"/>
        <v>1.1532644618178376E-2</v>
      </c>
    </row>
    <row r="27" spans="1:11">
      <c r="A27" s="15" t="s">
        <v>33</v>
      </c>
      <c r="B27" s="23" t="s">
        <v>298</v>
      </c>
      <c r="C27" s="15">
        <v>461</v>
      </c>
      <c r="D27" s="19">
        <v>3.9024171077203899E-3</v>
      </c>
      <c r="E27" s="15">
        <f t="shared" si="3"/>
        <v>0.64767093220046501</v>
      </c>
      <c r="F27" s="27">
        <f t="shared" si="4"/>
        <v>2.5638800181362997</v>
      </c>
      <c r="G27" s="27">
        <f t="shared" si="0"/>
        <v>1.2177112199292504</v>
      </c>
      <c r="H27" s="30">
        <v>6.1525625587697803</v>
      </c>
      <c r="I27" s="20" t="s">
        <v>8</v>
      </c>
      <c r="J27" s="16">
        <f t="shared" si="1"/>
        <v>19.208703083753672</v>
      </c>
      <c r="K27" s="15">
        <f t="shared" si="2"/>
        <v>1.565135436223607E-3</v>
      </c>
    </row>
    <row r="28" spans="1:11">
      <c r="A28" s="15" t="s">
        <v>34</v>
      </c>
      <c r="B28" s="23" t="s">
        <v>299</v>
      </c>
      <c r="C28" s="15">
        <v>1308</v>
      </c>
      <c r="D28" s="19">
        <v>8.0852507742165992E-3</v>
      </c>
      <c r="E28" s="15">
        <f t="shared" si="3"/>
        <v>1.0321633916102226</v>
      </c>
      <c r="F28" s="27">
        <f t="shared" si="4"/>
        <v>4.0538533917232797</v>
      </c>
      <c r="G28" s="27">
        <f t="shared" si="0"/>
        <v>1.4723686019652376</v>
      </c>
      <c r="H28" s="30">
        <v>5.4000708473459502</v>
      </c>
      <c r="I28" s="20" t="s">
        <v>8</v>
      </c>
      <c r="J28" s="16">
        <f t="shared" si="1"/>
        <v>32.231761706357311</v>
      </c>
      <c r="K28" s="15">
        <f t="shared" si="2"/>
        <v>2.6262612420305462E-3</v>
      </c>
    </row>
    <row r="29" spans="1:11">
      <c r="A29" s="15" t="s">
        <v>35</v>
      </c>
      <c r="B29" s="23" t="s">
        <v>300</v>
      </c>
      <c r="C29" s="15">
        <v>1776</v>
      </c>
      <c r="D29" s="19">
        <v>9.2022970083242804E-3</v>
      </c>
      <c r="E29" s="15">
        <f t="shared" si="3"/>
        <v>1.1542390999164829</v>
      </c>
      <c r="F29" s="27">
        <f t="shared" si="4"/>
        <v>4.5269174284467066</v>
      </c>
      <c r="G29" s="27">
        <f t="shared" si="0"/>
        <v>1.5403761041209005</v>
      </c>
      <c r="H29" s="30">
        <v>8.0674851495473199</v>
      </c>
      <c r="I29" s="20" t="s">
        <v>8</v>
      </c>
      <c r="J29" s="16">
        <f t="shared" si="1"/>
        <v>56.255827894014445</v>
      </c>
      <c r="K29" s="15">
        <f t="shared" si="2"/>
        <v>4.5837550482774473E-3</v>
      </c>
    </row>
    <row r="30" spans="1:11">
      <c r="A30" s="15" t="s">
        <v>36</v>
      </c>
      <c r="B30" s="23" t="s">
        <v>301</v>
      </c>
      <c r="C30" s="15">
        <v>5603</v>
      </c>
      <c r="D30" s="19">
        <v>7.2375764580263305E-2</v>
      </c>
      <c r="E30" s="15">
        <f t="shared" si="3"/>
        <v>1.6319062060173193</v>
      </c>
      <c r="F30" s="27">
        <f t="shared" si="4"/>
        <v>6.3779583321386957</v>
      </c>
      <c r="G30" s="27">
        <f t="shared" si="0"/>
        <v>5.3864745026453749</v>
      </c>
      <c r="H30" s="30">
        <v>5.4362213318158599</v>
      </c>
      <c r="I30" s="20" t="s">
        <v>8</v>
      </c>
      <c r="J30" s="16">
        <f t="shared" si="1"/>
        <v>186.75980699699164</v>
      </c>
      <c r="K30" s="15">
        <f t="shared" si="2"/>
        <v>1.521728930468493E-2</v>
      </c>
    </row>
    <row r="31" spans="1:11">
      <c r="A31" s="15" t="s">
        <v>37</v>
      </c>
      <c r="B31" s="23" t="s">
        <v>302</v>
      </c>
      <c r="C31" s="15">
        <v>2048</v>
      </c>
      <c r="D31" s="19">
        <v>3.39447808829808E-2</v>
      </c>
      <c r="E31" s="15">
        <f t="shared" si="3"/>
        <v>1.212063398527347</v>
      </c>
      <c r="F31" s="27">
        <f t="shared" si="4"/>
        <v>4.7509963750372091</v>
      </c>
      <c r="G31" s="27">
        <f t="shared" si="0"/>
        <v>3.0467367846940849</v>
      </c>
      <c r="H31" s="30">
        <v>6.0363092782316103</v>
      </c>
      <c r="I31" s="20" t="s">
        <v>8</v>
      </c>
      <c r="J31" s="16">
        <f t="shared" si="1"/>
        <v>87.375790607113714</v>
      </c>
      <c r="K31" s="15">
        <f t="shared" si="2"/>
        <v>7.1194263116551582E-3</v>
      </c>
    </row>
    <row r="32" spans="1:11">
      <c r="A32" s="15" t="s">
        <v>38</v>
      </c>
      <c r="B32" s="23" t="s">
        <v>303</v>
      </c>
      <c r="C32" s="15">
        <v>1101</v>
      </c>
      <c r="D32" s="19">
        <v>8.4126792710772797E-3</v>
      </c>
      <c r="E32" s="15">
        <f t="shared" si="3"/>
        <v>0.9648598889429254</v>
      </c>
      <c r="F32" s="27">
        <f t="shared" si="4"/>
        <v>3.7930409246144166</v>
      </c>
      <c r="G32" s="27">
        <f t="shared" si="0"/>
        <v>1.4923029551962532</v>
      </c>
      <c r="H32" s="30">
        <v>9.3153212958648908</v>
      </c>
      <c r="I32" s="20" t="s">
        <v>8</v>
      </c>
      <c r="J32" s="16">
        <f t="shared" si="1"/>
        <v>52.728129628098984</v>
      </c>
      <c r="K32" s="15">
        <f t="shared" si="2"/>
        <v>4.2963163003195658E-3</v>
      </c>
    </row>
    <row r="33" spans="1:11">
      <c r="A33" s="15" t="s">
        <v>39</v>
      </c>
      <c r="B33" s="23" t="s">
        <v>304</v>
      </c>
      <c r="C33" s="15">
        <v>699</v>
      </c>
      <c r="D33" s="19">
        <v>5.0279238859791504E-3</v>
      </c>
      <c r="E33" s="15">
        <f t="shared" si="3"/>
        <v>0.79382045117761524</v>
      </c>
      <c r="F33" s="27">
        <f t="shared" si="4"/>
        <v>3.130234146830488</v>
      </c>
      <c r="G33" s="27">
        <f t="shared" si="0"/>
        <v>1.28623381309639</v>
      </c>
      <c r="H33" s="30">
        <v>5.7483655646468099</v>
      </c>
      <c r="I33" s="20" t="s">
        <v>8</v>
      </c>
      <c r="J33" s="16">
        <f t="shared" si="1"/>
        <v>23.144144179862383</v>
      </c>
      <c r="K33" s="15">
        <f t="shared" si="2"/>
        <v>1.8857972888137488E-3</v>
      </c>
    </row>
    <row r="34" spans="1:11">
      <c r="A34" s="15" t="s">
        <v>40</v>
      </c>
      <c r="B34" s="23" t="s">
        <v>305</v>
      </c>
      <c r="C34" s="15">
        <v>391</v>
      </c>
      <c r="D34" s="19">
        <v>3.6679293247873701E-3</v>
      </c>
      <c r="E34" s="15">
        <f t="shared" si="3"/>
        <v>0.59330324397468304</v>
      </c>
      <c r="F34" s="27">
        <f t="shared" ref="F34:F65" si="5">(E34-MIN(E$2:E$123))*9/(MAX(E$2:E$123)-MIN(E$2:E$123))+1</f>
        <v>2.3531960219813479</v>
      </c>
      <c r="G34" s="27">
        <f t="shared" ref="G34:G65" si="6">(D34-MIN(D$2:D$123))*9/(MAX(D$2:D$123)-MIN(D$2:D$123))+1</f>
        <v>1.2034352410875755</v>
      </c>
      <c r="H34" s="30">
        <v>4.4129949277427096</v>
      </c>
      <c r="I34" s="20" t="s">
        <v>8</v>
      </c>
      <c r="J34" s="16">
        <f t="shared" ref="J34:J65" si="7">F34*G34*H34</f>
        <v>12.497244280038176</v>
      </c>
      <c r="K34" s="15">
        <f t="shared" ref="K34:K65" si="8">J34/SUM(J$2:J$123)</f>
        <v>1.0182821709797719E-3</v>
      </c>
    </row>
    <row r="35" spans="1:11">
      <c r="A35" s="15" t="s">
        <v>41</v>
      </c>
      <c r="B35" s="23" t="s">
        <v>306</v>
      </c>
      <c r="C35" s="15">
        <v>4506</v>
      </c>
      <c r="D35" s="19">
        <v>1.16807007142656E-2</v>
      </c>
      <c r="E35" s="15">
        <f t="shared" si="3"/>
        <v>1.5397374932283434</v>
      </c>
      <c r="F35" s="27">
        <f t="shared" si="5"/>
        <v>6.0207889662058083</v>
      </c>
      <c r="G35" s="27">
        <f t="shared" si="6"/>
        <v>1.6912651543928874</v>
      </c>
      <c r="H35" s="30">
        <v>7.8308029610082297</v>
      </c>
      <c r="I35" s="20" t="s">
        <v>8</v>
      </c>
      <c r="J35" s="16">
        <f t="shared" si="7"/>
        <v>79.73911339696464</v>
      </c>
      <c r="K35" s="15">
        <f t="shared" si="8"/>
        <v>6.4971857541073312E-3</v>
      </c>
    </row>
    <row r="36" spans="1:11">
      <c r="A36" s="15" t="s">
        <v>42</v>
      </c>
      <c r="B36" s="23" t="s">
        <v>307</v>
      </c>
      <c r="C36" s="15">
        <v>13911</v>
      </c>
      <c r="D36" s="19">
        <v>5.2998348878827303E-2</v>
      </c>
      <c r="E36" s="15">
        <f t="shared" si="3"/>
        <v>2.0207477119658268</v>
      </c>
      <c r="F36" s="27">
        <f t="shared" si="5"/>
        <v>7.8847849973433455</v>
      </c>
      <c r="G36" s="27">
        <f t="shared" si="6"/>
        <v>4.2067474691092208</v>
      </c>
      <c r="H36" s="30">
        <v>10</v>
      </c>
      <c r="I36" s="20" t="s">
        <v>8</v>
      </c>
      <c r="J36" s="16">
        <f t="shared" si="7"/>
        <v>331.69299332044477</v>
      </c>
      <c r="K36" s="15">
        <f t="shared" si="8"/>
        <v>2.7026523109308202E-2</v>
      </c>
    </row>
    <row r="37" spans="1:11">
      <c r="A37" s="15" t="s">
        <v>43</v>
      </c>
      <c r="B37" s="23" t="s">
        <v>308</v>
      </c>
      <c r="C37" s="15">
        <v>6250</v>
      </c>
      <c r="D37" s="19">
        <v>2.9330548059377098E-2</v>
      </c>
      <c r="E37" s="15">
        <f t="shared" si="3"/>
        <v>1.6783150247111496</v>
      </c>
      <c r="F37" s="27">
        <f t="shared" si="5"/>
        <v>6.5578003614455467</v>
      </c>
      <c r="G37" s="27">
        <f t="shared" si="6"/>
        <v>2.7658151548488967</v>
      </c>
      <c r="H37" s="30">
        <v>8.8036343533926793</v>
      </c>
      <c r="I37" s="20" t="s">
        <v>8</v>
      </c>
      <c r="J37" s="16">
        <f t="shared" si="7"/>
        <v>159.67735855432551</v>
      </c>
      <c r="K37" s="15">
        <f t="shared" si="8"/>
        <v>1.3010596870922118E-2</v>
      </c>
    </row>
    <row r="38" spans="1:11">
      <c r="A38" s="15" t="s">
        <v>44</v>
      </c>
      <c r="B38" s="23" t="s">
        <v>309</v>
      </c>
      <c r="C38" s="15">
        <v>751</v>
      </c>
      <c r="D38" s="19">
        <v>3.9361928603400898E-3</v>
      </c>
      <c r="E38" s="15">
        <f t="shared" si="3"/>
        <v>0.82012187611796017</v>
      </c>
      <c r="F38" s="27">
        <f t="shared" si="5"/>
        <v>3.2321566212235346</v>
      </c>
      <c r="G38" s="27">
        <f t="shared" si="6"/>
        <v>1.2197675399802537</v>
      </c>
      <c r="H38" s="30">
        <v>9.2987362339874302</v>
      </c>
      <c r="I38" s="20" t="s">
        <v>8</v>
      </c>
      <c r="J38" s="16">
        <f t="shared" si="7"/>
        <v>36.660079123627789</v>
      </c>
      <c r="K38" s="15">
        <f t="shared" si="8"/>
        <v>2.9870829217866486E-3</v>
      </c>
    </row>
    <row r="39" spans="1:11">
      <c r="A39" s="15" t="s">
        <v>45</v>
      </c>
      <c r="B39" s="23" t="s">
        <v>310</v>
      </c>
      <c r="C39" s="15">
        <v>6237</v>
      </c>
      <c r="D39" s="19">
        <v>2.0266239448117299E-2</v>
      </c>
      <c r="E39" s="15">
        <f t="shared" si="3"/>
        <v>1.6774297371526454</v>
      </c>
      <c r="F39" s="27">
        <f t="shared" si="5"/>
        <v>6.5543697222799198</v>
      </c>
      <c r="G39" s="27">
        <f t="shared" si="6"/>
        <v>2.2139660293628145</v>
      </c>
      <c r="H39" s="30">
        <v>7.3336992840951201</v>
      </c>
      <c r="I39" s="20" t="s">
        <v>8</v>
      </c>
      <c r="J39" s="16">
        <f t="shared" si="7"/>
        <v>106.4204243665163</v>
      </c>
      <c r="K39" s="15">
        <f t="shared" si="8"/>
        <v>8.6711932912776363E-3</v>
      </c>
    </row>
    <row r="40" spans="1:11">
      <c r="A40" s="15" t="s">
        <v>46</v>
      </c>
      <c r="B40" s="23" t="s">
        <v>311</v>
      </c>
      <c r="C40" s="15">
        <v>8993</v>
      </c>
      <c r="D40" s="19">
        <v>5.36277221149759E-2</v>
      </c>
      <c r="E40" s="15">
        <f t="shared" si="3"/>
        <v>1.8335523027725524</v>
      </c>
      <c r="F40" s="27">
        <f t="shared" si="5"/>
        <v>7.1593710951204823</v>
      </c>
      <c r="G40" s="27">
        <f t="shared" si="6"/>
        <v>4.2450646850016174</v>
      </c>
      <c r="H40" s="30">
        <v>10</v>
      </c>
      <c r="I40" s="20" t="s">
        <v>8</v>
      </c>
      <c r="J40" s="16">
        <f t="shared" si="7"/>
        <v>303.91993402717316</v>
      </c>
      <c r="K40" s="15">
        <f t="shared" si="8"/>
        <v>2.4763559332799851E-2</v>
      </c>
    </row>
    <row r="41" spans="1:11">
      <c r="A41" s="15" t="s">
        <v>47</v>
      </c>
      <c r="B41" s="23" t="s">
        <v>312</v>
      </c>
      <c r="C41" s="15">
        <v>491</v>
      </c>
      <c r="D41" s="19">
        <v>5.2969396545169099E-3</v>
      </c>
      <c r="E41" s="15">
        <f t="shared" si="3"/>
        <v>0.66903759308447996</v>
      </c>
      <c r="F41" s="27">
        <f t="shared" si="5"/>
        <v>2.6466794463709045</v>
      </c>
      <c r="G41" s="27">
        <f t="shared" si="6"/>
        <v>1.3026119090964658</v>
      </c>
      <c r="H41" s="30">
        <v>5.0134923700679801</v>
      </c>
      <c r="I41" s="20" t="s">
        <v>8</v>
      </c>
      <c r="J41" s="16">
        <f t="shared" si="7"/>
        <v>17.284497075339971</v>
      </c>
      <c r="K41" s="15">
        <f t="shared" si="8"/>
        <v>1.4083500979719138E-3</v>
      </c>
    </row>
    <row r="42" spans="1:11">
      <c r="A42" s="15" t="s">
        <v>48</v>
      </c>
      <c r="B42" s="23" t="s">
        <v>313</v>
      </c>
      <c r="C42" s="15">
        <v>2486</v>
      </c>
      <c r="D42" s="19">
        <v>7.3753793491674203E-3</v>
      </c>
      <c r="E42" s="15">
        <f t="shared" si="3"/>
        <v>1.291513370944293</v>
      </c>
      <c r="F42" s="27">
        <f t="shared" si="5"/>
        <v>5.058878468785406</v>
      </c>
      <c r="G42" s="27">
        <f t="shared" si="6"/>
        <v>1.4291505318485249</v>
      </c>
      <c r="H42" s="30">
        <v>6.4340698144908899</v>
      </c>
      <c r="I42" s="20" t="s">
        <v>8</v>
      </c>
      <c r="J42" s="16">
        <f t="shared" si="7"/>
        <v>46.517673979770201</v>
      </c>
      <c r="K42" s="15">
        <f t="shared" si="8"/>
        <v>3.7902850410558631E-3</v>
      </c>
    </row>
    <row r="43" spans="1:11">
      <c r="A43" s="15" t="s">
        <v>49</v>
      </c>
      <c r="B43" s="23" t="s">
        <v>314</v>
      </c>
      <c r="C43" s="15">
        <v>686</v>
      </c>
      <c r="D43" s="19">
        <v>5.9470677913202501E-3</v>
      </c>
      <c r="E43" s="15">
        <f t="shared" si="3"/>
        <v>0.7869884507025563</v>
      </c>
      <c r="F43" s="27">
        <f t="shared" si="5"/>
        <v>3.1037589883532628</v>
      </c>
      <c r="G43" s="27">
        <f t="shared" si="6"/>
        <v>1.3421927154365267</v>
      </c>
      <c r="H43" s="30">
        <v>8.4452912099292998</v>
      </c>
      <c r="I43" s="20" t="s">
        <v>8</v>
      </c>
      <c r="J43" s="16">
        <f t="shared" si="7"/>
        <v>35.181754775430718</v>
      </c>
      <c r="K43" s="15">
        <f t="shared" si="8"/>
        <v>2.8666282605059323E-3</v>
      </c>
    </row>
    <row r="44" spans="1:11">
      <c r="A44" s="15" t="s">
        <v>50</v>
      </c>
      <c r="B44" s="23" t="s">
        <v>315</v>
      </c>
      <c r="C44" s="15">
        <v>916</v>
      </c>
      <c r="D44" s="19">
        <v>6.7581409635618598E-3</v>
      </c>
      <c r="E44" s="15">
        <f t="shared" si="3"/>
        <v>0.89437584812883919</v>
      </c>
      <c r="F44" s="27">
        <f t="shared" si="5"/>
        <v>3.5199033337315582</v>
      </c>
      <c r="G44" s="27">
        <f t="shared" si="6"/>
        <v>1.3915721044227702</v>
      </c>
      <c r="H44" s="30">
        <v>6.7766293247279297</v>
      </c>
      <c r="I44" s="20" t="s">
        <v>8</v>
      </c>
      <c r="J44" s="16">
        <f t="shared" si="7"/>
        <v>33.193280943489285</v>
      </c>
      <c r="K44" s="15">
        <f t="shared" si="8"/>
        <v>2.7046063455018351E-3</v>
      </c>
    </row>
    <row r="45" spans="1:11">
      <c r="A45" s="15" t="s">
        <v>51</v>
      </c>
      <c r="B45" s="23" t="s">
        <v>316</v>
      </c>
      <c r="C45" s="15">
        <v>660</v>
      </c>
      <c r="D45" s="19">
        <v>2.42641181281655E-3</v>
      </c>
      <c r="E45" s="15">
        <f t="shared" si="3"/>
        <v>0.77299331419263573</v>
      </c>
      <c r="F45" s="27">
        <f t="shared" si="5"/>
        <v>3.0495254650443595</v>
      </c>
      <c r="G45" s="27">
        <f t="shared" si="6"/>
        <v>1.1278497350506698</v>
      </c>
      <c r="H45" s="30">
        <v>5.4790574849958702</v>
      </c>
      <c r="I45" s="20" t="s">
        <v>8</v>
      </c>
      <c r="J45" s="16">
        <f t="shared" si="7"/>
        <v>18.844705860817388</v>
      </c>
      <c r="K45" s="15">
        <f t="shared" si="8"/>
        <v>1.5354767471481116E-3</v>
      </c>
    </row>
    <row r="46" spans="1:11">
      <c r="A46" s="15" t="s">
        <v>52</v>
      </c>
      <c r="B46" s="23" t="s">
        <v>317</v>
      </c>
      <c r="C46" s="15">
        <v>384</v>
      </c>
      <c r="D46" s="19">
        <v>2.2931624487540201E-3</v>
      </c>
      <c r="E46" s="15">
        <f t="shared" si="3"/>
        <v>0.58747254867512433</v>
      </c>
      <c r="F46" s="27">
        <f t="shared" si="5"/>
        <v>2.3306010905770291</v>
      </c>
      <c r="G46" s="27">
        <f t="shared" si="6"/>
        <v>1.1197373077069959</v>
      </c>
      <c r="H46" s="30">
        <v>6.3386088677252497</v>
      </c>
      <c r="I46" s="20" t="s">
        <v>8</v>
      </c>
      <c r="J46" s="16">
        <f t="shared" si="7"/>
        <v>16.541620296150803</v>
      </c>
      <c r="K46" s="15">
        <f t="shared" si="8"/>
        <v>1.3478200993152104E-3</v>
      </c>
    </row>
    <row r="47" spans="1:11">
      <c r="A47" s="15" t="s">
        <v>53</v>
      </c>
      <c r="B47" s="23" t="s">
        <v>318</v>
      </c>
      <c r="C47" s="15">
        <v>1023</v>
      </c>
      <c r="D47" s="19">
        <v>4.31041320393052E-3</v>
      </c>
      <c r="E47" s="15">
        <f t="shared" si="3"/>
        <v>0.93652384825622448</v>
      </c>
      <c r="F47" s="27">
        <f t="shared" si="5"/>
        <v>3.6832339697501406</v>
      </c>
      <c r="G47" s="27">
        <f t="shared" si="6"/>
        <v>1.2425506532000472</v>
      </c>
      <c r="H47" s="30">
        <v>5.6462198426120302</v>
      </c>
      <c r="I47" s="20" t="s">
        <v>8</v>
      </c>
      <c r="J47" s="16">
        <f t="shared" si="7"/>
        <v>25.840516692407228</v>
      </c>
      <c r="K47" s="15">
        <f t="shared" si="8"/>
        <v>2.105499168229677E-3</v>
      </c>
    </row>
    <row r="48" spans="1:11">
      <c r="A48" s="15" t="s">
        <v>54</v>
      </c>
      <c r="B48" s="23" t="s">
        <v>319</v>
      </c>
      <c r="C48" s="15">
        <v>4289</v>
      </c>
      <c r="D48" s="19">
        <v>1.46269823234103E-2</v>
      </c>
      <c r="E48" s="15">
        <f t="shared" si="3"/>
        <v>1.5189359790484178</v>
      </c>
      <c r="F48" s="27">
        <f t="shared" si="5"/>
        <v>5.9401795771271244</v>
      </c>
      <c r="G48" s="27">
        <f t="shared" si="6"/>
        <v>1.8706393349478732</v>
      </c>
      <c r="H48" s="30">
        <v>10</v>
      </c>
      <c r="I48" s="20" t="s">
        <v>8</v>
      </c>
      <c r="J48" s="16">
        <f t="shared" si="7"/>
        <v>111.11933573628022</v>
      </c>
      <c r="K48" s="15">
        <f t="shared" si="8"/>
        <v>9.0540631115057259E-3</v>
      </c>
    </row>
    <row r="49" spans="1:11">
      <c r="A49" s="15" t="s">
        <v>55</v>
      </c>
      <c r="B49" s="23" t="s">
        <v>320</v>
      </c>
      <c r="C49" s="15">
        <v>854</v>
      </c>
      <c r="D49" s="19">
        <v>1.87648099748851E-3</v>
      </c>
      <c r="E49" s="15">
        <f t="shared" si="3"/>
        <v>0.86794081995732175</v>
      </c>
      <c r="F49" s="27">
        <f t="shared" si="5"/>
        <v>3.417463124199108</v>
      </c>
      <c r="G49" s="27">
        <f t="shared" si="6"/>
        <v>1.0943690965892166</v>
      </c>
      <c r="H49" s="30">
        <v>9.5371773030424691</v>
      </c>
      <c r="I49" s="20" t="s">
        <v>8</v>
      </c>
      <c r="J49" s="16">
        <f t="shared" si="7"/>
        <v>35.668719153173903</v>
      </c>
      <c r="K49" s="15">
        <f t="shared" si="8"/>
        <v>2.9063063793493154E-3</v>
      </c>
    </row>
    <row r="50" spans="1:11">
      <c r="A50" s="15" t="s">
        <v>56</v>
      </c>
      <c r="B50" s="23" t="s">
        <v>321</v>
      </c>
      <c r="C50" s="15">
        <v>790</v>
      </c>
      <c r="D50" s="19">
        <v>2.7127074099744701E-3</v>
      </c>
      <c r="E50" s="15">
        <f t="shared" si="3"/>
        <v>0.83885271027649599</v>
      </c>
      <c r="F50" s="27">
        <f t="shared" si="5"/>
        <v>3.3047417746596635</v>
      </c>
      <c r="G50" s="27">
        <f t="shared" si="6"/>
        <v>1.1452798537390223</v>
      </c>
      <c r="H50" s="30">
        <v>10</v>
      </c>
      <c r="I50" s="20" t="s">
        <v>8</v>
      </c>
      <c r="J50" s="16">
        <f t="shared" si="7"/>
        <v>37.848541763274561</v>
      </c>
      <c r="K50" s="15">
        <f t="shared" si="8"/>
        <v>3.0839194954912132E-3</v>
      </c>
    </row>
    <row r="51" spans="1:11">
      <c r="A51" s="15" t="s">
        <v>57</v>
      </c>
      <c r="B51" s="23" t="s">
        <v>322</v>
      </c>
      <c r="C51" s="15">
        <v>698</v>
      </c>
      <c r="D51" s="19">
        <v>1.69386429571166E-3</v>
      </c>
      <c r="E51" s="15">
        <f t="shared" si="3"/>
        <v>0.79329871150996156</v>
      </c>
      <c r="F51" s="27">
        <f t="shared" si="5"/>
        <v>3.1282123172894316</v>
      </c>
      <c r="G51" s="27">
        <f t="shared" si="6"/>
        <v>1.0832511093828321</v>
      </c>
      <c r="H51" s="30">
        <v>7.5565124383173501</v>
      </c>
      <c r="I51" s="20" t="s">
        <v>8</v>
      </c>
      <c r="J51" s="16">
        <f t="shared" si="7"/>
        <v>25.60629625180367</v>
      </c>
      <c r="K51" s="15">
        <f t="shared" si="8"/>
        <v>2.0864147610274758E-3</v>
      </c>
    </row>
    <row r="52" spans="1:11">
      <c r="A52" s="15" t="s">
        <v>58</v>
      </c>
      <c r="B52" s="23" t="s">
        <v>323</v>
      </c>
      <c r="C52" s="15">
        <v>949</v>
      </c>
      <c r="D52" s="19">
        <v>4.8426198634990703E-3</v>
      </c>
      <c r="E52" s="15">
        <f t="shared" si="3"/>
        <v>0.90781630393823942</v>
      </c>
      <c r="F52" s="27">
        <f t="shared" si="5"/>
        <v>3.5719873754202327</v>
      </c>
      <c r="G52" s="27">
        <f t="shared" si="6"/>
        <v>1.2749522176498651</v>
      </c>
      <c r="H52" s="30">
        <v>5.8570005350836203</v>
      </c>
      <c r="I52" s="20" t="s">
        <v>8</v>
      </c>
      <c r="J52" s="16">
        <f t="shared" si="7"/>
        <v>26.673443599811041</v>
      </c>
      <c r="K52" s="15">
        <f t="shared" si="8"/>
        <v>2.1733664996615651E-3</v>
      </c>
    </row>
    <row r="53" spans="1:11">
      <c r="A53" s="15" t="s">
        <v>59</v>
      </c>
      <c r="B53" s="23" t="s">
        <v>324</v>
      </c>
      <c r="C53" s="15">
        <v>696</v>
      </c>
      <c r="D53" s="19">
        <v>4.9658661386673799E-3</v>
      </c>
      <c r="E53" s="15">
        <f t="shared" si="3"/>
        <v>0.79225334802546454</v>
      </c>
      <c r="F53" s="27">
        <f t="shared" si="5"/>
        <v>3.124161356810228</v>
      </c>
      <c r="G53" s="27">
        <f t="shared" si="6"/>
        <v>1.2824556414726773</v>
      </c>
      <c r="H53" s="30">
        <v>10</v>
      </c>
      <c r="I53" s="20" t="s">
        <v>8</v>
      </c>
      <c r="J53" s="16">
        <f t="shared" si="7"/>
        <v>40.06598356912211</v>
      </c>
      <c r="K53" s="15">
        <f t="shared" si="8"/>
        <v>3.2645978438921018E-3</v>
      </c>
    </row>
    <row r="54" spans="1:11">
      <c r="A54" s="15" t="s">
        <v>60</v>
      </c>
      <c r="B54" s="23" t="s">
        <v>325</v>
      </c>
      <c r="C54" s="15">
        <v>5658</v>
      </c>
      <c r="D54" s="19">
        <v>2.4400321999430302E-2</v>
      </c>
      <c r="E54" s="15">
        <f t="shared" si="3"/>
        <v>1.636049983366044</v>
      </c>
      <c r="F54" s="27">
        <f t="shared" si="5"/>
        <v>6.3940161708935852</v>
      </c>
      <c r="G54" s="27">
        <f t="shared" si="6"/>
        <v>2.4656553681167246</v>
      </c>
      <c r="H54" s="30">
        <v>10</v>
      </c>
      <c r="I54" s="20" t="s">
        <v>8</v>
      </c>
      <c r="J54" s="16">
        <f t="shared" si="7"/>
        <v>157.65440295588914</v>
      </c>
      <c r="K54" s="15">
        <f t="shared" si="8"/>
        <v>1.2845765363078281E-2</v>
      </c>
    </row>
    <row r="55" spans="1:11">
      <c r="A55" s="15" t="s">
        <v>61</v>
      </c>
      <c r="B55" s="23" t="s">
        <v>326</v>
      </c>
      <c r="C55" s="15">
        <v>17994</v>
      </c>
      <c r="D55" s="19">
        <v>0.11128853398525899</v>
      </c>
      <c r="E55" s="15">
        <f t="shared" si="3"/>
        <v>2.1315765782992093</v>
      </c>
      <c r="F55" s="27">
        <f t="shared" si="5"/>
        <v>8.314265617366603</v>
      </c>
      <c r="G55" s="27">
        <f t="shared" si="6"/>
        <v>7.755544079525535</v>
      </c>
      <c r="H55" s="30">
        <v>10</v>
      </c>
      <c r="I55" s="20" t="s">
        <v>8</v>
      </c>
      <c r="J55" s="16">
        <f t="shared" si="7"/>
        <v>644.8165348437027</v>
      </c>
      <c r="K55" s="15">
        <f t="shared" si="8"/>
        <v>5.2539997320296725E-2</v>
      </c>
    </row>
    <row r="56" spans="1:11">
      <c r="A56" s="31" t="s">
        <v>62</v>
      </c>
      <c r="B56" s="23" t="s">
        <v>327</v>
      </c>
      <c r="C56" s="31">
        <v>101</v>
      </c>
      <c r="D56" s="32">
        <v>3.26436655029882E-4</v>
      </c>
      <c r="E56" s="31">
        <f t="shared" si="3"/>
        <v>0.24410662356626064</v>
      </c>
      <c r="F56" s="33">
        <f t="shared" si="5"/>
        <v>1</v>
      </c>
      <c r="G56" s="33">
        <f t="shared" si="6"/>
        <v>1</v>
      </c>
      <c r="H56" s="34">
        <v>4.5906324318565197</v>
      </c>
      <c r="I56" s="35" t="s">
        <v>8</v>
      </c>
      <c r="J56" s="16">
        <f t="shared" si="7"/>
        <v>4.5906324318565197</v>
      </c>
      <c r="K56" s="31">
        <f t="shared" si="8"/>
        <v>3.7404719425607061E-4</v>
      </c>
    </row>
    <row r="57" spans="1:11">
      <c r="A57" s="15" t="s">
        <v>63</v>
      </c>
      <c r="B57" s="23" t="s">
        <v>328</v>
      </c>
      <c r="C57" s="15">
        <v>1176</v>
      </c>
      <c r="D57" s="19">
        <v>3.1357287857042399E-3</v>
      </c>
      <c r="E57" s="15">
        <f t="shared" si="3"/>
        <v>0.990466300864419</v>
      </c>
      <c r="F57" s="27">
        <f t="shared" si="5"/>
        <v>3.8922701058958777</v>
      </c>
      <c r="G57" s="27">
        <f t="shared" si="6"/>
        <v>1.1710340492623748</v>
      </c>
      <c r="H57" s="30">
        <v>7.9503409745594196</v>
      </c>
      <c r="I57" s="20" t="s">
        <v>8</v>
      </c>
      <c r="J57" s="16">
        <f t="shared" si="7"/>
        <v>36.237501697797569</v>
      </c>
      <c r="K57" s="15">
        <f t="shared" si="8"/>
        <v>2.9526510863404328E-3</v>
      </c>
    </row>
    <row r="58" spans="1:11">
      <c r="A58" s="15" t="s">
        <v>64</v>
      </c>
      <c r="B58" s="23" t="s">
        <v>329</v>
      </c>
      <c r="C58" s="15">
        <v>742</v>
      </c>
      <c r="D58" s="19">
        <v>3.2774543270160401E-3</v>
      </c>
      <c r="E58" s="15">
        <f t="shared" si="3"/>
        <v>0.81568219222943761</v>
      </c>
      <c r="F58" s="27">
        <f t="shared" si="5"/>
        <v>3.2149520945308745</v>
      </c>
      <c r="G58" s="27">
        <f t="shared" si="6"/>
        <v>1.1796625193847186</v>
      </c>
      <c r="H58" s="30">
        <v>4.8137437385978901</v>
      </c>
      <c r="I58" s="20" t="s">
        <v>8</v>
      </c>
      <c r="J58" s="16">
        <f t="shared" si="7"/>
        <v>18.256404672640151</v>
      </c>
      <c r="K58" s="15">
        <f t="shared" si="8"/>
        <v>1.4875416506049505E-3</v>
      </c>
    </row>
    <row r="59" spans="1:11">
      <c r="A59" s="15" t="s">
        <v>65</v>
      </c>
      <c r="B59" s="23" t="s">
        <v>330</v>
      </c>
      <c r="C59" s="15">
        <v>1591</v>
      </c>
      <c r="D59" s="19">
        <v>8.2665504339939008E-3</v>
      </c>
      <c r="E59" s="15">
        <f t="shared" si="3"/>
        <v>1.1099923202177919</v>
      </c>
      <c r="F59" s="27">
        <f t="shared" si="5"/>
        <v>4.3554536662724797</v>
      </c>
      <c r="G59" s="27">
        <f t="shared" si="6"/>
        <v>1.483406405617989</v>
      </c>
      <c r="H59" s="30">
        <v>7.1817036156156604</v>
      </c>
      <c r="I59" s="20" t="s">
        <v>8</v>
      </c>
      <c r="J59" s="16">
        <f t="shared" si="7"/>
        <v>46.40032539520756</v>
      </c>
      <c r="K59" s="15">
        <f t="shared" si="8"/>
        <v>3.7807234154068614E-3</v>
      </c>
    </row>
    <row r="60" spans="1:11">
      <c r="A60" s="15" t="s">
        <v>66</v>
      </c>
      <c r="B60" s="23" t="s">
        <v>331</v>
      </c>
      <c r="C60" s="15">
        <v>161</v>
      </c>
      <c r="D60" s="19">
        <v>1.60212907958789E-3</v>
      </c>
      <c r="E60" s="15">
        <f t="shared" si="3"/>
        <v>0.34289950784680867</v>
      </c>
      <c r="F60" s="27">
        <f t="shared" si="5"/>
        <v>1.3828391519143031</v>
      </c>
      <c r="G60" s="27">
        <f t="shared" si="6"/>
        <v>1.0776661275639987</v>
      </c>
      <c r="H60" s="30">
        <v>8.7999747231051</v>
      </c>
      <c r="I60" s="20" t="s">
        <v>8</v>
      </c>
      <c r="J60" s="16">
        <f t="shared" si="7"/>
        <v>13.114064773596462</v>
      </c>
      <c r="K60" s="15">
        <f t="shared" si="8"/>
        <v>1.06854103583117E-3</v>
      </c>
    </row>
    <row r="61" spans="1:11">
      <c r="A61" s="15" t="s">
        <v>67</v>
      </c>
      <c r="B61" s="23" t="s">
        <v>332</v>
      </c>
      <c r="C61" s="15">
        <v>1235</v>
      </c>
      <c r="D61" s="19">
        <v>2.4092376459000299E-3</v>
      </c>
      <c r="E61" s="15">
        <f t="shared" si="3"/>
        <v>1.0095999250864489</v>
      </c>
      <c r="F61" s="27">
        <f t="shared" si="5"/>
        <v>3.9664161390191479</v>
      </c>
      <c r="G61" s="27">
        <f t="shared" si="6"/>
        <v>1.1268041452103084</v>
      </c>
      <c r="H61" s="30">
        <v>3.71706301818661</v>
      </c>
      <c r="I61" s="20" t="s">
        <v>8</v>
      </c>
      <c r="J61" s="16">
        <f t="shared" si="7"/>
        <v>16.612945356534937</v>
      </c>
      <c r="K61" s="15">
        <f t="shared" si="8"/>
        <v>1.3536317035141639E-3</v>
      </c>
    </row>
    <row r="62" spans="1:11">
      <c r="A62" s="15" t="s">
        <v>68</v>
      </c>
      <c r="B62" s="23" t="s">
        <v>333</v>
      </c>
      <c r="C62" s="15">
        <v>4159</v>
      </c>
      <c r="D62" s="19">
        <v>1.5282089887424801E-2</v>
      </c>
      <c r="E62" s="15">
        <f t="shared" si="3"/>
        <v>1.5059796218932819</v>
      </c>
      <c r="F62" s="27">
        <f t="shared" si="5"/>
        <v>5.889971499680116</v>
      </c>
      <c r="G62" s="27">
        <f t="shared" si="6"/>
        <v>1.9105232965168377</v>
      </c>
      <c r="H62" s="30">
        <v>9.0493133722912908</v>
      </c>
      <c r="I62" s="20" t="s">
        <v>8</v>
      </c>
      <c r="J62" s="16">
        <f t="shared" si="7"/>
        <v>101.83126970992144</v>
      </c>
      <c r="K62" s="15">
        <f t="shared" si="8"/>
        <v>8.29726650694298E-3</v>
      </c>
    </row>
    <row r="63" spans="1:11">
      <c r="A63" s="15" t="s">
        <v>69</v>
      </c>
      <c r="B63" s="23" t="s">
        <v>334</v>
      </c>
      <c r="C63" s="15">
        <v>5106</v>
      </c>
      <c r="D63" s="19">
        <v>1.25041684034132E-2</v>
      </c>
      <c r="E63" s="15">
        <f t="shared" si="3"/>
        <v>1.5925519035644951</v>
      </c>
      <c r="F63" s="27">
        <f t="shared" si="5"/>
        <v>6.22545374757334</v>
      </c>
      <c r="G63" s="27">
        <f t="shared" si="6"/>
        <v>1.7413991407355025</v>
      </c>
      <c r="H63" s="30">
        <v>10</v>
      </c>
      <c r="I63" s="20" t="s">
        <v>8</v>
      </c>
      <c r="J63" s="16">
        <f t="shared" si="7"/>
        <v>108.40999806712829</v>
      </c>
      <c r="K63" s="15">
        <f t="shared" si="8"/>
        <v>8.8333048241712887E-3</v>
      </c>
    </row>
    <row r="64" spans="1:11">
      <c r="A64" s="15" t="s">
        <v>70</v>
      </c>
      <c r="B64" s="23" t="s">
        <v>335</v>
      </c>
      <c r="C64" s="15">
        <v>396</v>
      </c>
      <c r="D64" s="19">
        <v>1.3135985879590901E-3</v>
      </c>
      <c r="E64" s="15">
        <f t="shared" si="3"/>
        <v>0.59742061414198611</v>
      </c>
      <c r="F64" s="27">
        <f t="shared" si="5"/>
        <v>2.369151528437575</v>
      </c>
      <c r="G64" s="27">
        <f t="shared" si="6"/>
        <v>1.0600999450441726</v>
      </c>
      <c r="H64" s="30">
        <v>4.8493559466832696</v>
      </c>
      <c r="I64" s="20" t="s">
        <v>8</v>
      </c>
      <c r="J64" s="16">
        <f t="shared" si="7"/>
        <v>12.17933885072941</v>
      </c>
      <c r="K64" s="15">
        <f t="shared" si="8"/>
        <v>9.9237906598566858E-4</v>
      </c>
    </row>
    <row r="65" spans="1:11">
      <c r="A65" s="15" t="s">
        <v>71</v>
      </c>
      <c r="B65" s="23" t="s">
        <v>336</v>
      </c>
      <c r="C65" s="15">
        <v>633</v>
      </c>
      <c r="D65" s="19">
        <v>5.6982735154095096E-3</v>
      </c>
      <c r="E65" s="15">
        <f t="shared" si="3"/>
        <v>0.75796619223935513</v>
      </c>
      <c r="F65" s="27">
        <f t="shared" si="5"/>
        <v>2.9912928234305189</v>
      </c>
      <c r="G65" s="27">
        <f t="shared" si="6"/>
        <v>1.3270457351785141</v>
      </c>
      <c r="H65" s="30">
        <v>4.5966336648091302</v>
      </c>
      <c r="I65" s="20" t="s">
        <v>8</v>
      </c>
      <c r="J65" s="16">
        <f t="shared" si="7"/>
        <v>18.246716021544078</v>
      </c>
      <c r="K65" s="15">
        <f t="shared" si="8"/>
        <v>1.4867522141139209E-3</v>
      </c>
    </row>
    <row r="66" spans="1:11">
      <c r="A66" s="15" t="s">
        <v>72</v>
      </c>
      <c r="B66" s="23" t="s">
        <v>337</v>
      </c>
      <c r="C66" s="15">
        <v>841</v>
      </c>
      <c r="D66" s="19">
        <v>3.5011668706701501E-3</v>
      </c>
      <c r="E66" s="15">
        <f t="shared" si="3"/>
        <v>0.86218788732967966</v>
      </c>
      <c r="F66" s="27">
        <f t="shared" ref="F66:F97" si="9">(E66-MIN(E$2:E$123))*9/(MAX(E$2:E$123)-MIN(E$2:E$123))+1</f>
        <v>3.3951695363134444</v>
      </c>
      <c r="G66" s="27">
        <f t="shared" ref="G66:G97" si="10">(D66-MIN(D$2:D$123))*9/(MAX(D$2:D$123)-MIN(D$2:D$123))+1</f>
        <v>1.1932824849960426</v>
      </c>
      <c r="H66" s="30">
        <v>4.9554643854190097</v>
      </c>
      <c r="I66" s="20" t="s">
        <v>8</v>
      </c>
      <c r="J66" s="16">
        <f t="shared" ref="J66:J97" si="11">F66*G66*H66</f>
        <v>20.076550280404987</v>
      </c>
      <c r="K66" s="15">
        <f t="shared" ref="K66:K97" si="12">J66/SUM(J$2:J$123)</f>
        <v>1.635848091564462E-3</v>
      </c>
    </row>
    <row r="67" spans="1:11">
      <c r="A67" s="15" t="s">
        <v>73</v>
      </c>
      <c r="B67" s="23" t="s">
        <v>338</v>
      </c>
      <c r="C67" s="15">
        <v>2135</v>
      </c>
      <c r="D67" s="19">
        <v>5.4872026449500301E-3</v>
      </c>
      <c r="E67" s="15">
        <f t="shared" ref="E67:E123" si="13">LOG(1+1000*C67/133897)</f>
        <v>1.2290439342488431</v>
      </c>
      <c r="F67" s="27">
        <f t="shared" si="9"/>
        <v>4.8167988257097436</v>
      </c>
      <c r="G67" s="27">
        <f t="shared" si="10"/>
        <v>1.3141954141806216</v>
      </c>
      <c r="H67" s="30">
        <v>6.0929543693646799</v>
      </c>
      <c r="I67" s="20" t="s">
        <v>8</v>
      </c>
      <c r="J67" s="16">
        <f t="shared" si="11"/>
        <v>38.569710703224608</v>
      </c>
      <c r="K67" s="15">
        <f t="shared" si="12"/>
        <v>3.1426807277565136E-3</v>
      </c>
    </row>
    <row r="68" spans="1:11">
      <c r="A68" s="15" t="s">
        <v>74</v>
      </c>
      <c r="B68" s="23" t="s">
        <v>339</v>
      </c>
      <c r="C68" s="15">
        <v>874</v>
      </c>
      <c r="D68" s="19">
        <v>3.2202646267329499E-3</v>
      </c>
      <c r="E68" s="15">
        <f t="shared" si="13"/>
        <v>0.87664530589810874</v>
      </c>
      <c r="F68" s="27">
        <f t="shared" si="9"/>
        <v>3.4511944808619788</v>
      </c>
      <c r="G68" s="27">
        <f t="shared" si="10"/>
        <v>1.1761807219921596</v>
      </c>
      <c r="H68" s="30">
        <v>5.88321923501488</v>
      </c>
      <c r="I68" s="20" t="s">
        <v>8</v>
      </c>
      <c r="J68" s="16">
        <f t="shared" si="11"/>
        <v>23.881330697716262</v>
      </c>
      <c r="K68" s="15">
        <f t="shared" si="12"/>
        <v>1.9458636419229936E-3</v>
      </c>
    </row>
    <row r="69" spans="1:11">
      <c r="A69" s="15" t="s">
        <v>75</v>
      </c>
      <c r="B69" s="23" t="s">
        <v>340</v>
      </c>
      <c r="C69" s="15">
        <v>4922</v>
      </c>
      <c r="D69" s="19">
        <v>1.04051562185139E-2</v>
      </c>
      <c r="E69" s="15">
        <f t="shared" si="13"/>
        <v>1.5770273711776706</v>
      </c>
      <c r="F69" s="27">
        <f t="shared" si="9"/>
        <v>6.1652935563194822</v>
      </c>
      <c r="G69" s="27">
        <f t="shared" si="10"/>
        <v>1.6136080329633766</v>
      </c>
      <c r="H69" s="30">
        <v>6.2443849092958903</v>
      </c>
      <c r="I69" s="20" t="s">
        <v>8</v>
      </c>
      <c r="J69" s="16">
        <f t="shared" si="11"/>
        <v>62.121434066109359</v>
      </c>
      <c r="K69" s="15">
        <f t="shared" si="12"/>
        <v>5.0616877871432122E-3</v>
      </c>
    </row>
    <row r="70" spans="1:11">
      <c r="A70" s="15" t="s">
        <v>76</v>
      </c>
      <c r="B70" s="23" t="s">
        <v>341</v>
      </c>
      <c r="C70" s="15">
        <v>1087</v>
      </c>
      <c r="D70" s="19">
        <v>3.8717620830776502E-3</v>
      </c>
      <c r="E70" s="15">
        <f t="shared" si="13"/>
        <v>0.95990817995248545</v>
      </c>
      <c r="F70" s="27">
        <f t="shared" si="9"/>
        <v>3.7738522139675741</v>
      </c>
      <c r="G70" s="27">
        <f t="shared" si="10"/>
        <v>1.2158448946234421</v>
      </c>
      <c r="H70" s="30">
        <v>4.9489848933004597</v>
      </c>
      <c r="I70" s="20" t="s">
        <v>8</v>
      </c>
      <c r="J70" s="16">
        <f t="shared" si="11"/>
        <v>22.708016054894632</v>
      </c>
      <c r="K70" s="15">
        <f t="shared" si="12"/>
        <v>1.8502613351293943E-3</v>
      </c>
    </row>
    <row r="71" spans="1:11">
      <c r="A71" s="15" t="s">
        <v>77</v>
      </c>
      <c r="B71" s="23" t="s">
        <v>342</v>
      </c>
      <c r="C71" s="15">
        <v>4546</v>
      </c>
      <c r="D71" s="19">
        <v>1.14509025913292E-2</v>
      </c>
      <c r="E71" s="15">
        <f t="shared" si="13"/>
        <v>1.543465448147602</v>
      </c>
      <c r="F71" s="27">
        <f t="shared" si="9"/>
        <v>6.035235422649075</v>
      </c>
      <c r="G71" s="27">
        <f t="shared" si="10"/>
        <v>1.6772746893039927</v>
      </c>
      <c r="H71" s="30">
        <v>8.0731832390709606</v>
      </c>
      <c r="I71" s="20" t="s">
        <v>8</v>
      </c>
      <c r="J71" s="16">
        <f t="shared" si="11"/>
        <v>81.722796406213803</v>
      </c>
      <c r="K71" s="15">
        <f t="shared" si="12"/>
        <v>6.6588173103073155E-3</v>
      </c>
    </row>
    <row r="72" spans="1:11">
      <c r="A72" s="15" t="s">
        <v>78</v>
      </c>
      <c r="B72" s="23" t="s">
        <v>343</v>
      </c>
      <c r="C72" s="15">
        <v>313</v>
      </c>
      <c r="D72" s="19">
        <v>4.0445660047900401E-4</v>
      </c>
      <c r="E72" s="15">
        <f t="shared" si="13"/>
        <v>0.52343659263947784</v>
      </c>
      <c r="F72" s="27">
        <f t="shared" si="9"/>
        <v>2.0824509198512668</v>
      </c>
      <c r="G72" s="27">
        <f t="shared" si="10"/>
        <v>1.004749974930585</v>
      </c>
      <c r="H72" s="30">
        <v>10</v>
      </c>
      <c r="I72" s="20" t="s">
        <v>8</v>
      </c>
      <c r="J72" s="16">
        <f t="shared" si="11"/>
        <v>20.923425095147344</v>
      </c>
      <c r="K72" s="15">
        <f t="shared" si="12"/>
        <v>1.7048519059718816E-3</v>
      </c>
    </row>
    <row r="73" spans="1:11">
      <c r="A73" s="15" t="s">
        <v>79</v>
      </c>
      <c r="B73" s="23" t="s">
        <v>344</v>
      </c>
      <c r="C73" s="15">
        <v>2531</v>
      </c>
      <c r="D73" s="19">
        <v>8.3740873153569598E-3</v>
      </c>
      <c r="E73" s="15">
        <f t="shared" si="13"/>
        <v>1.2989095812923379</v>
      </c>
      <c r="F73" s="27">
        <f t="shared" si="9"/>
        <v>5.0875400360394236</v>
      </c>
      <c r="G73" s="27">
        <f t="shared" si="10"/>
        <v>1.489953417252609</v>
      </c>
      <c r="H73" s="30">
        <v>4.1280003965284404</v>
      </c>
      <c r="I73" s="20" t="s">
        <v>8</v>
      </c>
      <c r="J73" s="16">
        <f t="shared" si="11"/>
        <v>31.291058954939182</v>
      </c>
      <c r="K73" s="15">
        <f t="shared" si="12"/>
        <v>2.5496122769870485E-3</v>
      </c>
    </row>
    <row r="74" spans="1:11">
      <c r="A74" s="15" t="s">
        <v>80</v>
      </c>
      <c r="B74" s="23" t="s">
        <v>345</v>
      </c>
      <c r="C74" s="15">
        <v>623</v>
      </c>
      <c r="D74" s="19">
        <v>2.50782722020169E-3</v>
      </c>
      <c r="E74" s="15">
        <f t="shared" si="13"/>
        <v>0.75226593726142166</v>
      </c>
      <c r="F74" s="27">
        <f t="shared" si="9"/>
        <v>2.969203370355638</v>
      </c>
      <c r="G74" s="27">
        <f t="shared" si="10"/>
        <v>1.1328064309547314</v>
      </c>
      <c r="H74" s="30">
        <v>6.5243630499198302</v>
      </c>
      <c r="I74" s="20" t="s">
        <v>8</v>
      </c>
      <c r="J74" s="16">
        <f t="shared" si="11"/>
        <v>21.944908287296865</v>
      </c>
      <c r="K74" s="15">
        <f t="shared" si="12"/>
        <v>1.788082904679557E-3</v>
      </c>
    </row>
    <row r="75" spans="1:11">
      <c r="A75" s="15" t="s">
        <v>81</v>
      </c>
      <c r="B75" s="23" t="s">
        <v>346</v>
      </c>
      <c r="C75" s="15">
        <v>1258</v>
      </c>
      <c r="D75" s="19">
        <v>8.7987271768717994E-3</v>
      </c>
      <c r="E75" s="15">
        <f t="shared" si="13"/>
        <v>1.0168362521590364</v>
      </c>
      <c r="F75" s="27">
        <f t="shared" si="9"/>
        <v>3.9944581315130279</v>
      </c>
      <c r="G75" s="27">
        <f t="shared" si="10"/>
        <v>1.5158061486934162</v>
      </c>
      <c r="H75" s="30">
        <v>10</v>
      </c>
      <c r="I75" s="20" t="s">
        <v>8</v>
      </c>
      <c r="J75" s="16">
        <f t="shared" si="11"/>
        <v>60.548241964458626</v>
      </c>
      <c r="K75" s="15">
        <f t="shared" si="12"/>
        <v>4.9335032503973041E-3</v>
      </c>
    </row>
    <row r="76" spans="1:11">
      <c r="A76" s="15" t="s">
        <v>82</v>
      </c>
      <c r="B76" s="23" t="s">
        <v>466</v>
      </c>
      <c r="C76" s="15">
        <v>8695</v>
      </c>
      <c r="D76" s="19">
        <v>2.9194524889913E-2</v>
      </c>
      <c r="E76" s="15">
        <f t="shared" si="13"/>
        <v>1.819135603635893</v>
      </c>
      <c r="F76" s="27">
        <f t="shared" si="9"/>
        <v>7.1035039452637276</v>
      </c>
      <c r="G76" s="27">
        <f t="shared" si="10"/>
        <v>2.7575338539429062</v>
      </c>
      <c r="H76" s="30">
        <v>10</v>
      </c>
      <c r="I76" s="20" t="s">
        <v>8</v>
      </c>
      <c r="J76" s="16">
        <f t="shared" si="11"/>
        <v>195.88152610681726</v>
      </c>
      <c r="K76" s="15">
        <f t="shared" si="12"/>
        <v>1.5960531873213207E-2</v>
      </c>
    </row>
    <row r="77" spans="1:11">
      <c r="A77" s="15" t="s">
        <v>83</v>
      </c>
      <c r="B77" s="23" t="s">
        <v>348</v>
      </c>
      <c r="C77" s="15">
        <v>6117</v>
      </c>
      <c r="D77" s="19">
        <v>7.1151276994776899E-2</v>
      </c>
      <c r="E77" s="15">
        <f t="shared" si="13"/>
        <v>1.66917149618493</v>
      </c>
      <c r="F77" s="27">
        <f t="shared" si="9"/>
        <v>6.5223676404355837</v>
      </c>
      <c r="G77" s="27">
        <f t="shared" si="10"/>
        <v>5.3119258048682676</v>
      </c>
      <c r="H77" s="30">
        <v>7.0739275215682902</v>
      </c>
      <c r="I77" s="20" t="s">
        <v>8</v>
      </c>
      <c r="J77" s="16">
        <f t="shared" si="11"/>
        <v>245.08564837497099</v>
      </c>
      <c r="K77" s="15">
        <f t="shared" si="12"/>
        <v>1.9969710162574185E-2</v>
      </c>
    </row>
    <row r="78" spans="1:11">
      <c r="A78" s="15" t="s">
        <v>84</v>
      </c>
      <c r="B78" s="23" t="s">
        <v>349</v>
      </c>
      <c r="C78" s="15">
        <v>2645</v>
      </c>
      <c r="D78" s="19">
        <v>1.2390022235707799E-2</v>
      </c>
      <c r="E78" s="15">
        <f t="shared" si="13"/>
        <v>1.3171016032913427</v>
      </c>
      <c r="F78" s="27">
        <f t="shared" si="9"/>
        <v>5.1580372011381526</v>
      </c>
      <c r="G78" s="27">
        <f t="shared" si="10"/>
        <v>1.7344497455276247</v>
      </c>
      <c r="H78" s="30">
        <v>4.5291909818276297</v>
      </c>
      <c r="I78" s="20" t="s">
        <v>8</v>
      </c>
      <c r="J78" s="16">
        <f t="shared" si="11"/>
        <v>40.519756323708442</v>
      </c>
      <c r="K78" s="15">
        <f t="shared" si="12"/>
        <v>3.3015714914673279E-3</v>
      </c>
    </row>
    <row r="79" spans="1:11">
      <c r="A79" s="15" t="s">
        <v>85</v>
      </c>
      <c r="B79" s="23" t="s">
        <v>350</v>
      </c>
      <c r="C79" s="15">
        <v>1327</v>
      </c>
      <c r="D79" s="19">
        <v>1.7286182637757601E-2</v>
      </c>
      <c r="E79" s="15">
        <f t="shared" si="13"/>
        <v>1.0378487506118164</v>
      </c>
      <c r="F79" s="27">
        <f t="shared" si="9"/>
        <v>4.0758851203680013</v>
      </c>
      <c r="G79" s="27">
        <f t="shared" si="10"/>
        <v>2.0325355623271966</v>
      </c>
      <c r="H79" s="30">
        <v>5.9161634057257597</v>
      </c>
      <c r="I79" s="20" t="s">
        <v>8</v>
      </c>
      <c r="J79" s="16">
        <f t="shared" si="11"/>
        <v>49.011754403784423</v>
      </c>
      <c r="K79" s="15">
        <f t="shared" si="12"/>
        <v>3.9935040525318549E-3</v>
      </c>
    </row>
    <row r="80" spans="1:11">
      <c r="A80" s="15" t="s">
        <v>86</v>
      </c>
      <c r="B80" s="23" t="s">
        <v>351</v>
      </c>
      <c r="C80" s="15">
        <v>6024</v>
      </c>
      <c r="D80" s="19">
        <v>2.4923457235797999E-2</v>
      </c>
      <c r="E80" s="15">
        <f t="shared" si="13"/>
        <v>1.6626615737749861</v>
      </c>
      <c r="F80" s="27">
        <f t="shared" si="9"/>
        <v>6.4971405889874916</v>
      </c>
      <c r="G80" s="27">
        <f t="shared" si="10"/>
        <v>2.4975046502938403</v>
      </c>
      <c r="H80" s="30">
        <v>10</v>
      </c>
      <c r="I80" s="20" t="s">
        <v>8</v>
      </c>
      <c r="J80" s="16">
        <f t="shared" si="11"/>
        <v>162.26638834609119</v>
      </c>
      <c r="K80" s="15">
        <f t="shared" si="12"/>
        <v>1.3221552407840087E-2</v>
      </c>
    </row>
    <row r="81" spans="1:11">
      <c r="A81" s="15" t="s">
        <v>87</v>
      </c>
      <c r="B81" s="23" t="s">
        <v>352</v>
      </c>
      <c r="C81" s="15">
        <v>293</v>
      </c>
      <c r="D81" s="19">
        <v>2.2250839825255198E-3</v>
      </c>
      <c r="E81" s="15">
        <f t="shared" si="13"/>
        <v>0.50355225619837096</v>
      </c>
      <c r="F81" s="27">
        <f t="shared" si="9"/>
        <v>2.0053957497858361</v>
      </c>
      <c r="G81" s="27">
        <f t="shared" si="10"/>
        <v>1.1155925854050694</v>
      </c>
      <c r="H81" s="30">
        <v>5.1903864204743098</v>
      </c>
      <c r="I81" s="20" t="s">
        <v>8</v>
      </c>
      <c r="J81" s="16">
        <f t="shared" si="11"/>
        <v>11.611956527553705</v>
      </c>
      <c r="K81" s="15">
        <f t="shared" si="12"/>
        <v>9.4614844978960439E-4</v>
      </c>
    </row>
    <row r="82" spans="1:11">
      <c r="A82" s="15" t="s">
        <v>88</v>
      </c>
      <c r="B82" s="23" t="s">
        <v>353</v>
      </c>
      <c r="C82" s="15">
        <v>3559</v>
      </c>
      <c r="D82" s="19">
        <v>1.3924548638371699E-2</v>
      </c>
      <c r="E82" s="15">
        <f t="shared" si="13"/>
        <v>1.4405963481158939</v>
      </c>
      <c r="F82" s="27">
        <f t="shared" si="9"/>
        <v>5.6366002446084131</v>
      </c>
      <c r="G82" s="27">
        <f t="shared" si="10"/>
        <v>1.8278740859448783</v>
      </c>
      <c r="H82" s="30">
        <v>7.8444055975365501</v>
      </c>
      <c r="I82" s="20" t="s">
        <v>8</v>
      </c>
      <c r="J82" s="16">
        <f t="shared" si="11"/>
        <v>80.820875728091977</v>
      </c>
      <c r="K82" s="15">
        <f t="shared" si="12"/>
        <v>6.5853283294096294E-3</v>
      </c>
    </row>
    <row r="83" spans="1:11">
      <c r="A83" s="15" t="s">
        <v>89</v>
      </c>
      <c r="B83" s="23" t="s">
        <v>354</v>
      </c>
      <c r="C83" s="15">
        <v>2002</v>
      </c>
      <c r="D83" s="19">
        <v>2.7966135977462699E-3</v>
      </c>
      <c r="E83" s="15">
        <f t="shared" si="13"/>
        <v>1.2028094591179335</v>
      </c>
      <c r="F83" s="27">
        <f t="shared" si="9"/>
        <v>4.7151357931626521</v>
      </c>
      <c r="G83" s="27">
        <f t="shared" si="10"/>
        <v>1.1503881922048176</v>
      </c>
      <c r="H83" s="30">
        <v>9.9726166937139595</v>
      </c>
      <c r="I83" s="20" t="s">
        <v>8</v>
      </c>
      <c r="J83" s="16">
        <f t="shared" si="11"/>
        <v>54.093831880393331</v>
      </c>
      <c r="K83" s="15">
        <f t="shared" si="12"/>
        <v>4.4075944527839101E-3</v>
      </c>
    </row>
    <row r="84" spans="1:11">
      <c r="A84" s="15" t="s">
        <v>90</v>
      </c>
      <c r="B84" s="23" t="s">
        <v>355</v>
      </c>
      <c r="C84" s="15">
        <v>418</v>
      </c>
      <c r="D84" s="19">
        <v>1.08396037877551E-3</v>
      </c>
      <c r="E84" s="15">
        <f t="shared" si="13"/>
        <v>0.61508718670426366</v>
      </c>
      <c r="F84" s="27">
        <f t="shared" si="9"/>
        <v>2.437612488012034</v>
      </c>
      <c r="G84" s="27">
        <f t="shared" si="10"/>
        <v>1.0461192157518437</v>
      </c>
      <c r="H84" s="30">
        <v>5.5236569194126197</v>
      </c>
      <c r="I84" s="20" t="s">
        <v>8</v>
      </c>
      <c r="J84" s="16">
        <f t="shared" si="11"/>
        <v>14.085508884895514</v>
      </c>
      <c r="K84" s="15">
        <f t="shared" si="12"/>
        <v>1.1476948233760905E-3</v>
      </c>
    </row>
    <row r="85" spans="1:11">
      <c r="A85" s="15" t="s">
        <v>91</v>
      </c>
      <c r="B85" s="23" t="s">
        <v>356</v>
      </c>
      <c r="C85" s="15">
        <v>7236</v>
      </c>
      <c r="D85" s="19">
        <v>3.0283298633395302E-2</v>
      </c>
      <c r="E85" s="15">
        <f t="shared" si="13"/>
        <v>1.7406905716699939</v>
      </c>
      <c r="F85" s="27">
        <f t="shared" si="9"/>
        <v>6.7995161658966223</v>
      </c>
      <c r="G85" s="27">
        <f t="shared" si="10"/>
        <v>2.8238200831481368</v>
      </c>
      <c r="H85" s="30">
        <v>10</v>
      </c>
      <c r="I85" s="20" t="s">
        <v>8</v>
      </c>
      <c r="J85" s="16">
        <f t="shared" si="11"/>
        <v>192.00610304949299</v>
      </c>
      <c r="K85" s="15">
        <f t="shared" si="12"/>
        <v>1.5644760322633806E-2</v>
      </c>
    </row>
    <row r="86" spans="1:11">
      <c r="A86" s="15" t="s">
        <v>92</v>
      </c>
      <c r="B86" s="23" t="s">
        <v>357</v>
      </c>
      <c r="C86" s="15">
        <v>731</v>
      </c>
      <c r="D86" s="19">
        <v>2.3664484613330002E-3</v>
      </c>
      <c r="E86" s="15">
        <f t="shared" si="13"/>
        <v>0.81019354407665201</v>
      </c>
      <c r="F86" s="27">
        <f t="shared" si="9"/>
        <v>3.1936826537278167</v>
      </c>
      <c r="G86" s="27">
        <f t="shared" si="10"/>
        <v>1.1241990734837957</v>
      </c>
      <c r="H86" s="30">
        <v>10</v>
      </c>
      <c r="I86" s="20" t="s">
        <v>8</v>
      </c>
      <c r="J86" s="16">
        <f t="shared" si="11"/>
        <v>35.903350803220818</v>
      </c>
      <c r="K86" s="15">
        <f t="shared" si="12"/>
        <v>2.9254242921176502E-3</v>
      </c>
    </row>
    <row r="87" spans="1:11">
      <c r="A87" s="15" t="s">
        <v>93</v>
      </c>
      <c r="B87" s="23" t="s">
        <v>358</v>
      </c>
      <c r="C87" s="15">
        <v>5069</v>
      </c>
      <c r="D87" s="19">
        <v>2.2674516412520201E-2</v>
      </c>
      <c r="E87" s="15">
        <f t="shared" si="13"/>
        <v>1.5894743817686947</v>
      </c>
      <c r="F87" s="27">
        <f t="shared" si="9"/>
        <v>6.213527829599772</v>
      </c>
      <c r="G87" s="27">
        <f t="shared" si="10"/>
        <v>2.3605856551645124</v>
      </c>
      <c r="H87" s="30">
        <v>8.72096302968259</v>
      </c>
      <c r="I87" s="20" t="s">
        <v>8</v>
      </c>
      <c r="J87" s="16">
        <f t="shared" si="11"/>
        <v>127.91528915730446</v>
      </c>
      <c r="K87" s="15">
        <f t="shared" si="12"/>
        <v>1.0422606410331556E-2</v>
      </c>
    </row>
    <row r="88" spans="1:11">
      <c r="A88" s="15" t="s">
        <v>94</v>
      </c>
      <c r="B88" s="23" t="s">
        <v>359</v>
      </c>
      <c r="C88" s="15">
        <v>49224</v>
      </c>
      <c r="D88" s="19">
        <v>0.144001172175174</v>
      </c>
      <c r="E88" s="15">
        <f t="shared" si="13"/>
        <v>2.56658580073245</v>
      </c>
      <c r="F88" s="27">
        <f t="shared" si="9"/>
        <v>10</v>
      </c>
      <c r="G88" s="27">
        <f t="shared" si="10"/>
        <v>9.7471400800216159</v>
      </c>
      <c r="H88" s="30">
        <v>10</v>
      </c>
      <c r="I88" s="20" t="s">
        <v>8</v>
      </c>
      <c r="J88" s="16">
        <f t="shared" si="11"/>
        <v>974.71400800216156</v>
      </c>
      <c r="K88" s="15">
        <f t="shared" si="12"/>
        <v>7.9420220483183507E-2</v>
      </c>
    </row>
    <row r="89" spans="1:11">
      <c r="A89" s="15" t="s">
        <v>95</v>
      </c>
      <c r="B89" s="23" t="s">
        <v>360</v>
      </c>
      <c r="C89" s="15">
        <v>3695</v>
      </c>
      <c r="D89" s="19">
        <v>9.7630093571462306E-3</v>
      </c>
      <c r="E89" s="15">
        <f t="shared" si="13"/>
        <v>1.4563028370495152</v>
      </c>
      <c r="F89" s="27">
        <f t="shared" si="9"/>
        <v>5.697465548285785</v>
      </c>
      <c r="G89" s="27">
        <f t="shared" si="10"/>
        <v>1.5745131390142473</v>
      </c>
      <c r="H89" s="30">
        <v>7.8803249037170904</v>
      </c>
      <c r="I89" s="20" t="s">
        <v>8</v>
      </c>
      <c r="J89" s="16">
        <f t="shared" si="11"/>
        <v>70.69230142001318</v>
      </c>
      <c r="K89" s="15">
        <f t="shared" si="12"/>
        <v>5.7600466589669266E-3</v>
      </c>
    </row>
    <row r="90" spans="1:11">
      <c r="A90" s="15" t="s">
        <v>96</v>
      </c>
      <c r="B90" s="23" t="s">
        <v>361</v>
      </c>
      <c r="C90" s="15">
        <v>2826</v>
      </c>
      <c r="D90" s="19">
        <v>5.9076592009661101E-3</v>
      </c>
      <c r="E90" s="15">
        <f t="shared" si="13"/>
        <v>1.3445057518909789</v>
      </c>
      <c r="F90" s="27">
        <f t="shared" si="9"/>
        <v>5.2642329163986279</v>
      </c>
      <c r="G90" s="27">
        <f t="shared" si="10"/>
        <v>1.339793459513515</v>
      </c>
      <c r="H90" s="30">
        <v>8.9017156433995996</v>
      </c>
      <c r="I90" s="20" t="s">
        <v>8</v>
      </c>
      <c r="J90" s="16">
        <f t="shared" si="11"/>
        <v>62.783665400517428</v>
      </c>
      <c r="K90" s="15">
        <f t="shared" si="12"/>
        <v>5.1156467516782177E-3</v>
      </c>
    </row>
    <row r="91" spans="1:11">
      <c r="A91" s="15" t="s">
        <v>97</v>
      </c>
      <c r="B91" s="23" t="s">
        <v>464</v>
      </c>
      <c r="C91" s="15">
        <v>23079</v>
      </c>
      <c r="D91" s="19">
        <v>0.14815448191917999</v>
      </c>
      <c r="E91" s="15">
        <f t="shared" si="13"/>
        <v>2.238958497728647</v>
      </c>
      <c r="F91" s="27">
        <f t="shared" si="9"/>
        <v>8.7303887345797158</v>
      </c>
      <c r="G91" s="27">
        <f t="shared" si="10"/>
        <v>10</v>
      </c>
      <c r="H91" s="30">
        <v>7.5921560985949901</v>
      </c>
      <c r="I91" s="20" t="s">
        <v>8</v>
      </c>
      <c r="J91" s="16">
        <f t="shared" si="11"/>
        <v>662.82474074344395</v>
      </c>
      <c r="K91" s="15">
        <f t="shared" si="12"/>
        <v>5.4007315601682135E-2</v>
      </c>
    </row>
    <row r="92" spans="1:11">
      <c r="A92" s="15" t="s">
        <v>98</v>
      </c>
      <c r="B92" s="23" t="s">
        <v>363</v>
      </c>
      <c r="C92" s="15">
        <v>1405</v>
      </c>
      <c r="D92" s="19">
        <v>6.4774294155254698E-3</v>
      </c>
      <c r="E92" s="15">
        <f t="shared" si="13"/>
        <v>1.060438706385459</v>
      </c>
      <c r="F92" s="27">
        <f t="shared" si="9"/>
        <v>4.1634250233999222</v>
      </c>
      <c r="G92" s="27">
        <f t="shared" si="10"/>
        <v>1.3744819512802247</v>
      </c>
      <c r="H92" s="30">
        <v>3.8428249259196798</v>
      </c>
      <c r="I92" s="20" t="s">
        <v>8</v>
      </c>
      <c r="J92" s="16">
        <f t="shared" si="11"/>
        <v>21.990767579684807</v>
      </c>
      <c r="K92" s="15">
        <f t="shared" si="12"/>
        <v>1.7918195444351693E-3</v>
      </c>
    </row>
    <row r="93" spans="1:11">
      <c r="A93" s="15" t="s">
        <v>99</v>
      </c>
      <c r="B93" s="23" t="s">
        <v>364</v>
      </c>
      <c r="C93" s="15">
        <v>8925</v>
      </c>
      <c r="D93" s="19">
        <v>7.5208324473290705E-2</v>
      </c>
      <c r="E93" s="15">
        <f t="shared" si="13"/>
        <v>1.8303044751105404</v>
      </c>
      <c r="F93" s="27">
        <f t="shared" si="9"/>
        <v>7.146785213083092</v>
      </c>
      <c r="G93" s="27">
        <f t="shared" si="10"/>
        <v>5.5589251292615476</v>
      </c>
      <c r="H93" s="30">
        <v>9.4818249884596906</v>
      </c>
      <c r="I93" s="20" t="s">
        <v>8</v>
      </c>
      <c r="J93" s="16">
        <f t="shared" si="11"/>
        <v>376.69815226057972</v>
      </c>
      <c r="K93" s="15">
        <f t="shared" si="12"/>
        <v>3.0693567613195447E-2</v>
      </c>
    </row>
    <row r="94" spans="1:11">
      <c r="A94" s="15" t="s">
        <v>100</v>
      </c>
      <c r="B94" s="23" t="s">
        <v>365</v>
      </c>
      <c r="C94" s="15">
        <v>1251</v>
      </c>
      <c r="D94" s="19">
        <v>5.3793353221425798E-3</v>
      </c>
      <c r="E94" s="15">
        <f t="shared" si="13"/>
        <v>1.0146466278562543</v>
      </c>
      <c r="F94" s="27">
        <f t="shared" si="9"/>
        <v>3.9859729666431818</v>
      </c>
      <c r="G94" s="27">
        <f t="shared" si="10"/>
        <v>1.3076282847598657</v>
      </c>
      <c r="H94" s="30">
        <v>10</v>
      </c>
      <c r="I94" s="20" t="s">
        <v>8</v>
      </c>
      <c r="J94" s="16">
        <f t="shared" si="11"/>
        <v>52.121709934708171</v>
      </c>
      <c r="K94" s="15">
        <f t="shared" si="12"/>
        <v>4.2469048982477324E-3</v>
      </c>
    </row>
    <row r="95" spans="1:11">
      <c r="A95" s="15" t="s">
        <v>101</v>
      </c>
      <c r="B95" s="23" t="s">
        <v>366</v>
      </c>
      <c r="C95" s="15">
        <v>13606</v>
      </c>
      <c r="D95" s="19">
        <v>9.5511790477878999E-2</v>
      </c>
      <c r="E95" s="15">
        <f t="shared" si="13"/>
        <v>2.0112126304522975</v>
      </c>
      <c r="F95" s="27">
        <f t="shared" si="9"/>
        <v>7.8478349422188582</v>
      </c>
      <c r="G95" s="27">
        <f t="shared" si="10"/>
        <v>6.7950315373167784</v>
      </c>
      <c r="H95" s="30">
        <v>7.3461012016512299</v>
      </c>
      <c r="I95" s="20" t="s">
        <v>8</v>
      </c>
      <c r="J95" s="16">
        <f t="shared" si="11"/>
        <v>391.74029316491016</v>
      </c>
      <c r="K95" s="15">
        <f t="shared" si="12"/>
        <v>3.1919209326921986E-2</v>
      </c>
    </row>
    <row r="96" spans="1:11">
      <c r="A96" s="15" t="s">
        <v>102</v>
      </c>
      <c r="B96" s="23" t="s">
        <v>367</v>
      </c>
      <c r="C96" s="15">
        <v>345</v>
      </c>
      <c r="D96" s="19">
        <v>9.0117893148105102E-4</v>
      </c>
      <c r="E96" s="15">
        <f t="shared" si="13"/>
        <v>0.55347126982810402</v>
      </c>
      <c r="F96" s="27">
        <f t="shared" si="9"/>
        <v>2.1988403787343649</v>
      </c>
      <c r="G96" s="27">
        <f t="shared" si="10"/>
        <v>1.0349911985835814</v>
      </c>
      <c r="H96" s="30">
        <v>10</v>
      </c>
      <c r="I96" s="20" t="s">
        <v>8</v>
      </c>
      <c r="J96" s="16">
        <f t="shared" si="11"/>
        <v>22.757804390802562</v>
      </c>
      <c r="K96" s="15">
        <f t="shared" si="12"/>
        <v>1.8543181154596609E-3</v>
      </c>
    </row>
    <row r="97" spans="1:11">
      <c r="A97" s="15" t="s">
        <v>103</v>
      </c>
      <c r="B97" s="23" t="s">
        <v>368</v>
      </c>
      <c r="C97" s="15">
        <v>7618</v>
      </c>
      <c r="D97" s="19">
        <v>3.53530747451785E-2</v>
      </c>
      <c r="E97" s="15">
        <f t="shared" si="13"/>
        <v>1.7626371469489364</v>
      </c>
      <c r="F97" s="27">
        <f t="shared" si="9"/>
        <v>6.884562860589269</v>
      </c>
      <c r="G97" s="27">
        <f t="shared" si="10"/>
        <v>3.1324758928391687</v>
      </c>
      <c r="H97" s="30">
        <v>10</v>
      </c>
      <c r="I97" s="20" t="s">
        <v>8</v>
      </c>
      <c r="J97" s="16">
        <f t="shared" si="11"/>
        <v>215.65727193531754</v>
      </c>
      <c r="K97" s="15">
        <f t="shared" si="12"/>
        <v>1.757187025660023E-2</v>
      </c>
    </row>
    <row r="98" spans="1:11">
      <c r="A98" s="15" t="s">
        <v>104</v>
      </c>
      <c r="B98" s="23" t="s">
        <v>369</v>
      </c>
      <c r="C98" s="15">
        <v>4300</v>
      </c>
      <c r="D98" s="19">
        <v>2.3892781525107799E-2</v>
      </c>
      <c r="E98" s="15">
        <f t="shared" si="13"/>
        <v>1.5200147535479207</v>
      </c>
      <c r="F98" s="27">
        <f t="shared" ref="F98:F111" si="14">(E98-MIN(E$2:E$123))*9/(MAX(E$2:E$123)-MIN(E$2:E$123))+1</f>
        <v>5.9443600109458554</v>
      </c>
      <c r="G98" s="27">
        <f t="shared" ref="G98:G123" si="15">(D98-MIN(D$2:D$123))*9/(MAX(D$2:D$123)-MIN(D$2:D$123))+1</f>
        <v>2.4347555191689807</v>
      </c>
      <c r="H98" s="30">
        <v>10</v>
      </c>
      <c r="I98" s="20" t="s">
        <v>8</v>
      </c>
      <c r="J98" s="16">
        <f t="shared" ref="J98:J123" si="16">F98*G98*H98</f>
        <v>144.73063344577804</v>
      </c>
      <c r="K98" s="15">
        <f t="shared" ref="K98:K111" si="17">J98/SUM(J$2:J$123)</f>
        <v>1.1792729687443883E-2</v>
      </c>
    </row>
    <row r="99" spans="1:11">
      <c r="A99" s="15" t="s">
        <v>105</v>
      </c>
      <c r="B99" s="23" t="s">
        <v>370</v>
      </c>
      <c r="C99" s="15">
        <v>12944</v>
      </c>
      <c r="D99" s="19">
        <v>7.0057251643154003E-2</v>
      </c>
      <c r="E99" s="15">
        <f t="shared" si="13"/>
        <v>1.9897670659564257</v>
      </c>
      <c r="F99" s="27">
        <f t="shared" si="14"/>
        <v>7.764729749130173</v>
      </c>
      <c r="G99" s="27">
        <f t="shared" si="15"/>
        <v>5.2453198496382436</v>
      </c>
      <c r="H99" s="30">
        <v>10</v>
      </c>
      <c r="I99" s="20" t="s">
        <v>8</v>
      </c>
      <c r="J99" s="16">
        <f t="shared" si="16"/>
        <v>407.28491080189076</v>
      </c>
      <c r="K99" s="15">
        <f t="shared" si="17"/>
        <v>3.3185793114494933E-2</v>
      </c>
    </row>
    <row r="100" spans="1:11">
      <c r="A100" s="15" t="s">
        <v>106</v>
      </c>
      <c r="B100" s="23" t="s">
        <v>371</v>
      </c>
      <c r="C100" s="15">
        <v>1273</v>
      </c>
      <c r="D100" s="19">
        <v>3.8660614192241099E-3</v>
      </c>
      <c r="E100" s="15">
        <f t="shared" si="13"/>
        <v>1.0214914569382265</v>
      </c>
      <c r="F100" s="27">
        <f t="shared" si="14"/>
        <v>4.0124978381440393</v>
      </c>
      <c r="G100" s="27">
        <f t="shared" si="15"/>
        <v>1.2154978293924152</v>
      </c>
      <c r="H100" s="30">
        <v>10</v>
      </c>
      <c r="I100" s="20" t="s">
        <v>8</v>
      </c>
      <c r="J100" s="16">
        <f t="shared" si="16"/>
        <v>48.771824127058387</v>
      </c>
      <c r="K100" s="15">
        <f t="shared" si="17"/>
        <v>3.9739544048180298E-3</v>
      </c>
    </row>
    <row r="101" spans="1:11">
      <c r="A101" s="15" t="s">
        <v>107</v>
      </c>
      <c r="B101" s="23" t="s">
        <v>372</v>
      </c>
      <c r="C101" s="15">
        <v>314</v>
      </c>
      <c r="D101" s="19">
        <v>1.9561218041742202E-3</v>
      </c>
      <c r="E101" s="15">
        <f t="shared" si="13"/>
        <v>0.52440730693284843</v>
      </c>
      <c r="F101" s="27">
        <f t="shared" si="14"/>
        <v>2.08621260207698</v>
      </c>
      <c r="G101" s="27">
        <f t="shared" si="15"/>
        <v>1.0992177520584181</v>
      </c>
      <c r="H101" s="30">
        <v>5.9042611153750597</v>
      </c>
      <c r="I101" s="20" t="s">
        <v>8</v>
      </c>
      <c r="J101" s="16">
        <f t="shared" si="16"/>
        <v>13.539662965937186</v>
      </c>
      <c r="K101" s="15">
        <f t="shared" si="17"/>
        <v>1.1032190049538521E-3</v>
      </c>
    </row>
    <row r="102" spans="1:11">
      <c r="A102" s="15" t="s">
        <v>108</v>
      </c>
      <c r="B102" s="23" t="s">
        <v>373</v>
      </c>
      <c r="C102" s="15">
        <v>14866</v>
      </c>
      <c r="D102" s="19">
        <v>7.6229703520327499E-2</v>
      </c>
      <c r="E102" s="15">
        <f t="shared" si="13"/>
        <v>2.049317430259181</v>
      </c>
      <c r="F102" s="27">
        <f t="shared" si="14"/>
        <v>7.9954974924942928</v>
      </c>
      <c r="G102" s="27">
        <f t="shared" si="15"/>
        <v>5.6211082651266358</v>
      </c>
      <c r="H102" s="30">
        <v>10</v>
      </c>
      <c r="I102" s="20" t="s">
        <v>8</v>
      </c>
      <c r="J102" s="16">
        <f t="shared" si="16"/>
        <v>449.43557038858961</v>
      </c>
      <c r="K102" s="15">
        <f t="shared" si="17"/>
        <v>3.662025147910665E-2</v>
      </c>
    </row>
    <row r="103" spans="1:11">
      <c r="A103" s="15" t="s">
        <v>109</v>
      </c>
      <c r="B103" s="23" t="s">
        <v>374</v>
      </c>
      <c r="C103" s="15">
        <v>3983</v>
      </c>
      <c r="D103" s="19">
        <v>2.4406144018047599E-2</v>
      </c>
      <c r="E103" s="15">
        <f t="shared" si="13"/>
        <v>1.4877991549570952</v>
      </c>
      <c r="F103" s="27">
        <f t="shared" si="14"/>
        <v>5.8195191124060441</v>
      </c>
      <c r="G103" s="27">
        <f t="shared" si="15"/>
        <v>2.4660098216134347</v>
      </c>
      <c r="H103" s="30">
        <v>10</v>
      </c>
      <c r="I103" s="20" t="s">
        <v>8</v>
      </c>
      <c r="J103" s="16">
        <f t="shared" si="16"/>
        <v>143.50991288260403</v>
      </c>
      <c r="K103" s="15">
        <f t="shared" si="17"/>
        <v>1.1693264720818081E-2</v>
      </c>
    </row>
    <row r="104" spans="1:11">
      <c r="A104" s="15" t="s">
        <v>110</v>
      </c>
      <c r="B104" s="23" t="s">
        <v>375</v>
      </c>
      <c r="C104" s="15">
        <v>1379</v>
      </c>
      <c r="D104" s="19">
        <v>8.7465216662735296E-3</v>
      </c>
      <c r="E104" s="15">
        <f t="shared" si="13"/>
        <v>1.0530385150643311</v>
      </c>
      <c r="F104" s="27">
        <f t="shared" si="14"/>
        <v>4.1347480292012424</v>
      </c>
      <c r="G104" s="27">
        <f t="shared" si="15"/>
        <v>1.512627796476522</v>
      </c>
      <c r="H104" s="30">
        <v>10</v>
      </c>
      <c r="I104" s="20" t="s">
        <v>8</v>
      </c>
      <c r="J104" s="16">
        <f t="shared" si="16"/>
        <v>62.543348003963175</v>
      </c>
      <c r="K104" s="15">
        <f t="shared" si="17"/>
        <v>5.0960655612330291E-3</v>
      </c>
    </row>
    <row r="105" spans="1:11">
      <c r="A105" s="15" t="s">
        <v>111</v>
      </c>
      <c r="B105" s="23" t="s">
        <v>376</v>
      </c>
      <c r="C105" s="15">
        <v>316</v>
      </c>
      <c r="D105" s="19">
        <v>1.4520969284637301E-3</v>
      </c>
      <c r="E105" s="15">
        <f t="shared" si="13"/>
        <v>0.52634225058500428</v>
      </c>
      <c r="F105" s="27">
        <f t="shared" si="14"/>
        <v>2.0937108363090093</v>
      </c>
      <c r="G105" s="27">
        <f t="shared" si="15"/>
        <v>1.068531938190767</v>
      </c>
      <c r="H105" s="30">
        <v>8.2018376240177897</v>
      </c>
      <c r="I105" s="20" t="s">
        <v>8</v>
      </c>
      <c r="J105" s="16">
        <f t="shared" si="16"/>
        <v>18.349125689796839</v>
      </c>
      <c r="K105" s="15">
        <f t="shared" si="17"/>
        <v>1.4950966088445503E-3</v>
      </c>
    </row>
    <row r="106" spans="1:11">
      <c r="A106" s="15" t="s">
        <v>112</v>
      </c>
      <c r="B106" s="23" t="s">
        <v>377</v>
      </c>
      <c r="C106" s="15">
        <v>628</v>
      </c>
      <c r="D106" s="19">
        <v>1.50924505007668E-3</v>
      </c>
      <c r="E106" s="15">
        <f t="shared" si="13"/>
        <v>0.75512541689361534</v>
      </c>
      <c r="F106" s="27">
        <f t="shared" si="14"/>
        <v>2.9802843380313719</v>
      </c>
      <c r="G106" s="27">
        <f t="shared" si="15"/>
        <v>1.0720112042095897</v>
      </c>
      <c r="H106" s="30">
        <v>8.8365754628644506</v>
      </c>
      <c r="I106" s="20" t="s">
        <v>8</v>
      </c>
      <c r="J106" s="16">
        <f t="shared" si="16"/>
        <v>28.231959059026529</v>
      </c>
      <c r="K106" s="15">
        <f t="shared" si="17"/>
        <v>2.300355175705164E-3</v>
      </c>
    </row>
    <row r="107" spans="1:11">
      <c r="A107" s="15" t="s">
        <v>113</v>
      </c>
      <c r="B107" s="23" t="s">
        <v>378</v>
      </c>
      <c r="C107" s="15">
        <v>758</v>
      </c>
      <c r="D107" s="19">
        <v>1.2414021201003001E-3</v>
      </c>
      <c r="E107" s="15">
        <f t="shared" si="13"/>
        <v>0.82354385649589246</v>
      </c>
      <c r="F107" s="27">
        <f t="shared" si="14"/>
        <v>3.245417374518627</v>
      </c>
      <c r="G107" s="27">
        <f t="shared" si="15"/>
        <v>1.0557045124348321</v>
      </c>
      <c r="H107" s="30">
        <v>10</v>
      </c>
      <c r="I107" s="20" t="s">
        <v>8</v>
      </c>
      <c r="J107" s="16">
        <f t="shared" si="16"/>
        <v>34.262017670137197</v>
      </c>
      <c r="K107" s="15">
        <f t="shared" si="17"/>
        <v>2.7916875875605464E-3</v>
      </c>
    </row>
    <row r="108" spans="1:11">
      <c r="A108" s="15" t="s">
        <v>114</v>
      </c>
      <c r="B108" s="23" t="s">
        <v>379</v>
      </c>
      <c r="C108" s="15">
        <v>4866</v>
      </c>
      <c r="D108" s="19">
        <v>2.85769823292048E-2</v>
      </c>
      <c r="E108" s="15">
        <f t="shared" si="13"/>
        <v>1.5721902111467227</v>
      </c>
      <c r="F108" s="27">
        <f t="shared" si="14"/>
        <v>6.1465487422834526</v>
      </c>
      <c r="G108" s="27">
        <f t="shared" si="15"/>
        <v>2.7199369078665194</v>
      </c>
      <c r="H108" s="30">
        <v>6.4808034307528199</v>
      </c>
      <c r="I108" s="20" t="s">
        <v>8</v>
      </c>
      <c r="J108" s="16">
        <f t="shared" si="16"/>
        <v>108.34752851121061</v>
      </c>
      <c r="K108" s="15">
        <f t="shared" si="17"/>
        <v>8.828214771228849E-3</v>
      </c>
    </row>
    <row r="109" spans="1:11">
      <c r="A109" s="31" t="s">
        <v>115</v>
      </c>
      <c r="C109" s="31">
        <v>1497</v>
      </c>
      <c r="D109" s="32">
        <v>3.0030641420124801E-3</v>
      </c>
      <c r="E109" s="31">
        <f t="shared" si="13"/>
        <v>1.085655687221136</v>
      </c>
      <c r="F109" s="33">
        <f t="shared" si="14"/>
        <v>4.2611450932943757</v>
      </c>
      <c r="G109" s="33">
        <f t="shared" si="15"/>
        <v>1.1629572205990968</v>
      </c>
      <c r="H109" s="34">
        <v>10</v>
      </c>
      <c r="I109" s="35" t="s">
        <v>8</v>
      </c>
      <c r="J109" s="16">
        <f t="shared" si="16"/>
        <v>49.555294542671064</v>
      </c>
      <c r="K109" s="31">
        <f t="shared" si="17"/>
        <v>4.0377919947563821E-3</v>
      </c>
    </row>
    <row r="110" spans="1:11">
      <c r="A110" s="15" t="s">
        <v>116</v>
      </c>
      <c r="B110" s="23" t="s">
        <v>380</v>
      </c>
      <c r="C110" s="15">
        <v>918</v>
      </c>
      <c r="D110" s="19">
        <v>2.4173552438204698E-3</v>
      </c>
      <c r="E110" s="15">
        <f t="shared" si="13"/>
        <v>0.89520236987737445</v>
      </c>
      <c r="F110" s="27">
        <f t="shared" si="14"/>
        <v>3.5231062454346866</v>
      </c>
      <c r="G110" s="27">
        <f t="shared" si="15"/>
        <v>1.1272983571249244</v>
      </c>
      <c r="H110" s="30">
        <v>5.5395852888471699</v>
      </c>
      <c r="I110" s="20" t="s">
        <v>8</v>
      </c>
      <c r="J110" s="16">
        <f t="shared" si="16"/>
        <v>22.000971965353017</v>
      </c>
      <c r="K110" s="15">
        <f t="shared" si="17"/>
        <v>1.7926510032559221E-3</v>
      </c>
    </row>
    <row r="111" spans="1:11">
      <c r="A111" s="15" t="s">
        <v>117</v>
      </c>
      <c r="B111" s="23" t="s">
        <v>381</v>
      </c>
      <c r="C111" s="15">
        <v>1129</v>
      </c>
      <c r="D111" s="19">
        <v>1.1220050116046799E-2</v>
      </c>
      <c r="E111" s="15">
        <f t="shared" si="13"/>
        <v>0.97459708495718189</v>
      </c>
      <c r="F111" s="27">
        <f t="shared" si="14"/>
        <v>3.8307742076465763</v>
      </c>
      <c r="G111" s="27">
        <f t="shared" si="15"/>
        <v>1.6632200336138019</v>
      </c>
      <c r="H111" s="30">
        <v>8.1714849310192594</v>
      </c>
      <c r="I111" s="20" t="s">
        <v>8</v>
      </c>
      <c r="J111" s="16">
        <f t="shared" si="16"/>
        <v>52.063965840158311</v>
      </c>
      <c r="K111" s="15">
        <f t="shared" si="17"/>
        <v>4.2421998784336109E-3</v>
      </c>
    </row>
    <row r="112" spans="1:11">
      <c r="A112" s="31" t="s">
        <v>118</v>
      </c>
      <c r="C112" s="31">
        <v>396</v>
      </c>
      <c r="D112" s="32">
        <v>4.75486953840017E-3</v>
      </c>
      <c r="E112" s="31">
        <f t="shared" si="13"/>
        <v>0.59742061414198611</v>
      </c>
      <c r="F112" s="33">
        <f t="shared" ref="F112" si="18">(E112-MIN(E$2:E$123))*9/(MAX(E$2:E$123)-MIN(E$2:E$123))+1</f>
        <v>2.369151528437575</v>
      </c>
      <c r="G112" s="33">
        <f t="shared" si="15"/>
        <v>1.269609842158943</v>
      </c>
      <c r="H112" s="34">
        <v>3.8106863559456898</v>
      </c>
      <c r="I112" s="35" t="s">
        <v>8</v>
      </c>
      <c r="J112" s="16">
        <f t="shared" si="16"/>
        <v>11.462156242391286</v>
      </c>
      <c r="K112" s="31">
        <f t="shared" ref="K112" si="19">J112/SUM(J$2:J$123)</f>
        <v>9.3394264215949929E-4</v>
      </c>
    </row>
    <row r="113" spans="1:11">
      <c r="A113" s="15" t="s">
        <v>119</v>
      </c>
      <c r="B113" s="23" t="s">
        <v>478</v>
      </c>
      <c r="C113" s="15">
        <v>104</v>
      </c>
      <c r="D113" s="19">
        <v>1.0759491193203601E-3</v>
      </c>
      <c r="E113" s="15">
        <f t="shared" si="13"/>
        <v>0.24961811877063098</v>
      </c>
      <c r="F113" s="27">
        <f t="shared" ref="F113:F123" si="20">(E113-MIN(E$2:E$123))*9/(MAX(E$2:E$123)-MIN(E$2:E$123))+1</f>
        <v>1.0213579769958832</v>
      </c>
      <c r="G113" s="27">
        <f t="shared" si="15"/>
        <v>1.0456314778874383</v>
      </c>
      <c r="H113" s="30">
        <v>6.8005812024158301</v>
      </c>
      <c r="I113" s="20" t="s">
        <v>8</v>
      </c>
      <c r="J113" s="16">
        <f t="shared" si="16"/>
        <v>7.2627762496670654</v>
      </c>
      <c r="K113" s="15">
        <f t="shared" ref="K113:K123" si="21">J113/SUM(J$2:J$123)</f>
        <v>5.9177490662195122E-4</v>
      </c>
    </row>
    <row r="114" spans="1:11">
      <c r="A114" s="15" t="s">
        <v>120</v>
      </c>
      <c r="B114" s="23" t="s">
        <v>383</v>
      </c>
      <c r="C114" s="15">
        <v>22316</v>
      </c>
      <c r="D114" s="19">
        <v>0.115676218556788</v>
      </c>
      <c r="E114" s="15">
        <f t="shared" si="13"/>
        <v>2.2244435061724759</v>
      </c>
      <c r="F114" s="27">
        <f t="shared" si="20"/>
        <v>8.6741406849567539</v>
      </c>
      <c r="G114" s="27">
        <f t="shared" si="15"/>
        <v>8.0226731014455552</v>
      </c>
      <c r="H114" s="30">
        <v>10</v>
      </c>
      <c r="I114" s="20" t="s">
        <v>8</v>
      </c>
      <c r="J114" s="16">
        <f t="shared" si="16"/>
        <v>695.89795151357077</v>
      </c>
      <c r="K114" s="15">
        <f t="shared" si="21"/>
        <v>5.6702138565018934E-2</v>
      </c>
    </row>
    <row r="115" spans="1:11">
      <c r="A115" s="31" t="s">
        <v>121</v>
      </c>
      <c r="B115" s="23" t="s">
        <v>384</v>
      </c>
      <c r="C115" s="31">
        <v>420</v>
      </c>
      <c r="D115" s="32">
        <v>2.0887383502153E-3</v>
      </c>
      <c r="E115" s="31">
        <f t="shared" si="13"/>
        <v>0.61665816630973713</v>
      </c>
      <c r="F115" s="33">
        <f t="shared" si="20"/>
        <v>2.4437002999451911</v>
      </c>
      <c r="G115" s="33">
        <f t="shared" si="15"/>
        <v>1.1072916524623433</v>
      </c>
      <c r="H115" s="34">
        <v>10</v>
      </c>
      <c r="I115" s="35" t="s">
        <v>8</v>
      </c>
      <c r="J115" s="16">
        <f t="shared" si="16"/>
        <v>27.058889432490346</v>
      </c>
      <c r="K115" s="31">
        <f t="shared" si="21"/>
        <v>2.2047728329699983E-3</v>
      </c>
    </row>
    <row r="116" spans="1:11">
      <c r="A116" s="15" t="s">
        <v>122</v>
      </c>
      <c r="B116" s="23" t="s">
        <v>385</v>
      </c>
      <c r="C116" s="15">
        <v>982</v>
      </c>
      <c r="D116" s="19">
        <v>4.3839145639006797E-3</v>
      </c>
      <c r="E116" s="15">
        <f t="shared" si="13"/>
        <v>0.9208532633864901</v>
      </c>
      <c r="F116" s="27">
        <f t="shared" si="20"/>
        <v>3.6225078003987772</v>
      </c>
      <c r="G116" s="27">
        <f t="shared" si="15"/>
        <v>1.2470255296590398</v>
      </c>
      <c r="H116" s="30">
        <v>4.6584074215341298</v>
      </c>
      <c r="I116" s="20" t="s">
        <v>8</v>
      </c>
      <c r="J116" s="16">
        <f t="shared" si="16"/>
        <v>21.043701991751778</v>
      </c>
      <c r="K116" s="15">
        <f t="shared" si="21"/>
        <v>1.7146521320576197E-3</v>
      </c>
    </row>
    <row r="117" spans="1:11">
      <c r="A117" s="15" t="s">
        <v>123</v>
      </c>
      <c r="B117" s="23" t="s">
        <v>386</v>
      </c>
      <c r="C117" s="15">
        <v>252</v>
      </c>
      <c r="D117" s="19">
        <v>3.5958378784099098E-4</v>
      </c>
      <c r="E117" s="15">
        <f t="shared" si="13"/>
        <v>0.45970055570707141</v>
      </c>
      <c r="F117" s="27">
        <f t="shared" si="20"/>
        <v>1.8354629864259282</v>
      </c>
      <c r="G117" s="27">
        <f t="shared" si="15"/>
        <v>1.0020180487049457</v>
      </c>
      <c r="H117" s="30">
        <v>4.5852706114007802</v>
      </c>
      <c r="I117" s="20" t="s">
        <v>8</v>
      </c>
      <c r="J117" s="16">
        <f t="shared" si="16"/>
        <v>8.4330785785589075</v>
      </c>
      <c r="K117" s="15">
        <f t="shared" si="21"/>
        <v>6.8713176845989772E-4</v>
      </c>
    </row>
    <row r="118" spans="1:11">
      <c r="A118" s="15" t="s">
        <v>124</v>
      </c>
      <c r="B118" s="23" t="s">
        <v>387</v>
      </c>
      <c r="C118" s="15">
        <v>782</v>
      </c>
      <c r="D118" s="19">
        <v>8.8997034718678297E-3</v>
      </c>
      <c r="E118" s="15">
        <f t="shared" si="13"/>
        <v>0.83507578986803854</v>
      </c>
      <c r="F118" s="27">
        <f t="shared" si="20"/>
        <v>3.2901055686560459</v>
      </c>
      <c r="G118" s="27">
        <f t="shared" si="15"/>
        <v>1.5219537416845863</v>
      </c>
      <c r="H118" s="30">
        <v>4.9406122299020501</v>
      </c>
      <c r="I118" s="20" t="s">
        <v>8</v>
      </c>
      <c r="J118" s="16">
        <f t="shared" si="16"/>
        <v>24.739564767880708</v>
      </c>
      <c r="K118" s="15">
        <f t="shared" si="21"/>
        <v>2.0157930145585094E-3</v>
      </c>
    </row>
    <row r="119" spans="1:11">
      <c r="A119" s="15" t="s">
        <v>125</v>
      </c>
      <c r="B119" s="23" t="s">
        <v>388</v>
      </c>
      <c r="C119" s="15">
        <v>461</v>
      </c>
      <c r="D119" s="19">
        <v>7.0056456904295304E-4</v>
      </c>
      <c r="E119" s="15">
        <f t="shared" si="13"/>
        <v>0.64767093220046501</v>
      </c>
      <c r="F119" s="27">
        <f t="shared" si="20"/>
        <v>2.5638800181362997</v>
      </c>
      <c r="G119" s="27">
        <f t="shared" si="15"/>
        <v>1.0227774859641887</v>
      </c>
      <c r="H119" s="30">
        <v>10</v>
      </c>
      <c r="I119" s="20" t="s">
        <v>8</v>
      </c>
      <c r="J119" s="16">
        <f t="shared" si="16"/>
        <v>26.222787592632631</v>
      </c>
      <c r="K119" s="15">
        <f t="shared" si="21"/>
        <v>2.1366468063378379E-3</v>
      </c>
    </row>
    <row r="120" spans="1:11">
      <c r="A120" s="15" t="s">
        <v>126</v>
      </c>
      <c r="B120" s="23" t="s">
        <v>389</v>
      </c>
      <c r="C120" s="15">
        <v>2104</v>
      </c>
      <c r="D120" s="19">
        <v>8.6354609218438506E-3</v>
      </c>
      <c r="E120" s="15">
        <f t="shared" si="13"/>
        <v>1.2230692474645368</v>
      </c>
      <c r="F120" s="27">
        <f t="shared" si="20"/>
        <v>4.7936459029247178</v>
      </c>
      <c r="G120" s="27">
        <f t="shared" si="15"/>
        <v>1.505866246609032</v>
      </c>
      <c r="H120" s="30">
        <v>10</v>
      </c>
      <c r="I120" s="20" t="s">
        <v>8</v>
      </c>
      <c r="J120" s="16">
        <f t="shared" si="16"/>
        <v>72.185895634100092</v>
      </c>
      <c r="K120" s="15">
        <f t="shared" si="21"/>
        <v>5.881745517115405E-3</v>
      </c>
    </row>
    <row r="121" spans="1:11">
      <c r="A121" s="15" t="s">
        <v>127</v>
      </c>
      <c r="B121" s="23" t="s">
        <v>390</v>
      </c>
      <c r="C121" s="15">
        <v>4141</v>
      </c>
      <c r="D121" s="19">
        <v>8.5330785016404898E-2</v>
      </c>
      <c r="E121" s="15">
        <f t="shared" si="13"/>
        <v>1.5041548086040097</v>
      </c>
      <c r="F121" s="27">
        <f t="shared" si="20"/>
        <v>5.8829000392489883</v>
      </c>
      <c r="G121" s="27">
        <f t="shared" si="15"/>
        <v>6.1751961807067568</v>
      </c>
      <c r="H121" s="30">
        <v>5.9477106876304298</v>
      </c>
      <c r="I121" s="20" t="s">
        <v>8</v>
      </c>
      <c r="J121" s="16">
        <f t="shared" si="16"/>
        <v>216.06880174904285</v>
      </c>
      <c r="K121" s="15">
        <f t="shared" si="21"/>
        <v>1.7605401926683088E-2</v>
      </c>
    </row>
    <row r="122" spans="1:11">
      <c r="A122" s="15" t="s">
        <v>128</v>
      </c>
      <c r="B122" s="23" t="s">
        <v>391</v>
      </c>
      <c r="C122" s="15">
        <v>9987</v>
      </c>
      <c r="D122" s="19">
        <v>7.6348538904212504E-2</v>
      </c>
      <c r="E122" s="15">
        <f t="shared" si="13"/>
        <v>1.8784481584506887</v>
      </c>
      <c r="F122" s="27">
        <f t="shared" si="20"/>
        <v>7.3333501366015987</v>
      </c>
      <c r="G122" s="27">
        <f t="shared" si="15"/>
        <v>5.628343147067028</v>
      </c>
      <c r="H122" s="30">
        <v>8.9490327306280903</v>
      </c>
      <c r="I122" s="20" t="s">
        <v>8</v>
      </c>
      <c r="J122" s="16">
        <f t="shared" si="16"/>
        <v>369.3678446610981</v>
      </c>
      <c r="K122" s="15">
        <f t="shared" si="21"/>
        <v>3.0096290215947764E-2</v>
      </c>
    </row>
    <row r="123" spans="1:11">
      <c r="A123" s="15" t="s">
        <v>129</v>
      </c>
      <c r="B123" s="23" t="s">
        <v>392</v>
      </c>
      <c r="C123" s="15">
        <v>2778</v>
      </c>
      <c r="D123" s="19">
        <v>9.9153184132963895E-3</v>
      </c>
      <c r="E123" s="15">
        <f t="shared" si="13"/>
        <v>1.3374051623608791</v>
      </c>
      <c r="F123" s="27">
        <f t="shared" si="20"/>
        <v>5.2367169298618306</v>
      </c>
      <c r="G123" s="27">
        <f t="shared" si="15"/>
        <v>1.5837859498865148</v>
      </c>
      <c r="H123" s="30">
        <v>5.8446167114179302</v>
      </c>
      <c r="I123" s="20" t="s">
        <v>8</v>
      </c>
      <c r="J123" s="16">
        <f t="shared" si="16"/>
        <v>48.474308250571532</v>
      </c>
      <c r="K123" s="15">
        <f t="shared" si="21"/>
        <v>3.9497126515305554E-3</v>
      </c>
    </row>
  </sheetData>
  <autoFilter ref="A1:K125" xr:uid="{73FEB1F5-0F95-45A0-8793-4E7135CA1013}"/>
  <phoneticPr fontId="16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ACF1-F2A7-400E-8C0F-128B4B09030E}">
  <dimension ref="A1:BT119"/>
  <sheetViews>
    <sheetView zoomScale="115" zoomScaleNormal="115" workbookViewId="0">
      <selection activeCell="E2" sqref="E2"/>
    </sheetView>
  </sheetViews>
  <sheetFormatPr defaultColWidth="8.7265625" defaultRowHeight="14"/>
  <cols>
    <col min="1" max="1" width="39.81640625" style="7" customWidth="1"/>
    <col min="2" max="2" width="10.90625" style="1" customWidth="1"/>
    <col min="3" max="4" width="8.7265625" style="21"/>
    <col min="5" max="5" width="8.7265625" style="10"/>
    <col min="6" max="7" width="12.453125" style="3" customWidth="1"/>
    <col min="8" max="8" width="12.453125" style="1" customWidth="1"/>
    <col min="9" max="9" width="12.453125" style="3" customWidth="1"/>
    <col min="12" max="12" width="12.453125" style="1" customWidth="1"/>
    <col min="13" max="13" width="12.453125" style="4" customWidth="1"/>
    <col min="14" max="21" width="8.7265625" style="21"/>
    <col min="22" max="38" width="5.90625" style="1" customWidth="1"/>
    <col min="39" max="39" width="7.90625" style="1" customWidth="1"/>
    <col min="40" max="55" width="9.81640625" style="1" customWidth="1"/>
    <col min="56" max="72" width="9.54296875" style="1" customWidth="1"/>
    <col min="73" max="16384" width="8.7265625" style="1"/>
  </cols>
  <sheetData>
    <row r="1" spans="1:72">
      <c r="A1" s="2" t="s">
        <v>260</v>
      </c>
      <c r="B1" s="3" t="s">
        <v>261</v>
      </c>
      <c r="C1" s="21" t="s">
        <v>262</v>
      </c>
      <c r="D1" s="21" t="s">
        <v>263</v>
      </c>
      <c r="E1" s="25" t="s">
        <v>479</v>
      </c>
      <c r="F1" s="3" t="s">
        <v>461</v>
      </c>
      <c r="G1" s="3" t="s">
        <v>264</v>
      </c>
      <c r="H1" s="1" t="s">
        <v>265</v>
      </c>
      <c r="I1" s="3" t="s">
        <v>266</v>
      </c>
      <c r="J1" t="s">
        <v>267</v>
      </c>
      <c r="K1" t="s">
        <v>462</v>
      </c>
      <c r="L1" s="1" t="s">
        <v>132</v>
      </c>
      <c r="M1" s="4" t="s">
        <v>133</v>
      </c>
      <c r="N1" s="21" t="s">
        <v>268</v>
      </c>
      <c r="O1" s="21" t="s">
        <v>457</v>
      </c>
      <c r="P1" s="21" t="s">
        <v>269</v>
      </c>
      <c r="Q1" s="21" t="s">
        <v>270</v>
      </c>
      <c r="R1" s="21" t="s">
        <v>271</v>
      </c>
      <c r="S1" s="21" t="s">
        <v>455</v>
      </c>
      <c r="T1" s="21" t="s">
        <v>444</v>
      </c>
      <c r="U1" s="21" t="s">
        <v>471</v>
      </c>
      <c r="V1" s="5" t="s">
        <v>393</v>
      </c>
      <c r="W1" s="5" t="s">
        <v>394</v>
      </c>
      <c r="X1" s="5" t="s">
        <v>395</v>
      </c>
      <c r="Y1" s="5" t="s">
        <v>396</v>
      </c>
      <c r="Z1" s="5" t="s">
        <v>397</v>
      </c>
      <c r="AA1" s="5" t="s">
        <v>398</v>
      </c>
      <c r="AB1" s="5" t="s">
        <v>399</v>
      </c>
      <c r="AC1" s="5" t="s">
        <v>400</v>
      </c>
      <c r="AD1" s="5" t="s">
        <v>401</v>
      </c>
      <c r="AE1" s="5" t="s">
        <v>402</v>
      </c>
      <c r="AF1" s="5" t="s">
        <v>403</v>
      </c>
      <c r="AG1" s="5" t="s">
        <v>404</v>
      </c>
      <c r="AH1" s="5" t="s">
        <v>405</v>
      </c>
      <c r="AI1" s="5" t="s">
        <v>406</v>
      </c>
      <c r="AJ1" s="5" t="s">
        <v>407</v>
      </c>
      <c r="AK1" s="5" t="s">
        <v>408</v>
      </c>
      <c r="AL1" s="5" t="s">
        <v>409</v>
      </c>
      <c r="AM1" s="1" t="s">
        <v>410</v>
      </c>
      <c r="AN1" s="1" t="s">
        <v>411</v>
      </c>
      <c r="AO1" s="1" t="s">
        <v>412</v>
      </c>
      <c r="AP1" s="1" t="s">
        <v>413</v>
      </c>
      <c r="AQ1" s="1" t="s">
        <v>414</v>
      </c>
      <c r="AR1" s="1" t="s">
        <v>415</v>
      </c>
      <c r="AS1" s="1" t="s">
        <v>416</v>
      </c>
      <c r="AT1" s="1" t="s">
        <v>417</v>
      </c>
      <c r="AU1" s="1" t="s">
        <v>418</v>
      </c>
      <c r="AV1" s="1" t="s">
        <v>419</v>
      </c>
      <c r="AW1" s="1" t="s">
        <v>420</v>
      </c>
      <c r="AX1" s="1" t="s">
        <v>421</v>
      </c>
      <c r="AY1" s="1" t="s">
        <v>422</v>
      </c>
      <c r="AZ1" s="1" t="s">
        <v>423</v>
      </c>
      <c r="BA1" s="1" t="s">
        <v>424</v>
      </c>
      <c r="BB1" s="1" t="s">
        <v>425</v>
      </c>
      <c r="BC1" s="1" t="s">
        <v>426</v>
      </c>
      <c r="BD1" s="6" t="s">
        <v>427</v>
      </c>
      <c r="BE1" s="6" t="s">
        <v>428</v>
      </c>
      <c r="BF1" s="6" t="s">
        <v>429</v>
      </c>
      <c r="BG1" s="6" t="s">
        <v>430</v>
      </c>
      <c r="BH1" s="6" t="s">
        <v>431</v>
      </c>
      <c r="BI1" s="6" t="s">
        <v>432</v>
      </c>
      <c r="BJ1" s="6" t="s">
        <v>433</v>
      </c>
      <c r="BK1" s="6" t="s">
        <v>434</v>
      </c>
      <c r="BL1" s="6" t="s">
        <v>435</v>
      </c>
      <c r="BM1" s="6" t="s">
        <v>436</v>
      </c>
      <c r="BN1" s="6" t="s">
        <v>437</v>
      </c>
      <c r="BO1" s="6" t="s">
        <v>438</v>
      </c>
      <c r="BP1" s="6" t="s">
        <v>439</v>
      </c>
      <c r="BQ1" s="6" t="s">
        <v>440</v>
      </c>
      <c r="BR1" s="6" t="s">
        <v>441</v>
      </c>
      <c r="BS1" s="6" t="s">
        <v>442</v>
      </c>
      <c r="BT1" s="6" t="s">
        <v>443</v>
      </c>
    </row>
    <row r="2" spans="1:72">
      <c r="A2" s="7" t="s">
        <v>272</v>
      </c>
      <c r="B2" s="1" t="s">
        <v>7</v>
      </c>
      <c r="C2" s="21">
        <v>0.30323041653087401</v>
      </c>
      <c r="D2" s="21">
        <v>2.1442646200977002E-2</v>
      </c>
      <c r="E2" s="10">
        <v>1.8288981299319741E-3</v>
      </c>
      <c r="F2" s="3">
        <v>2.5244082693221754E-3</v>
      </c>
      <c r="G2" s="8">
        <v>5.1724285714285703</v>
      </c>
      <c r="H2" s="7">
        <v>4.9790788246268596</v>
      </c>
      <c r="I2" s="3">
        <f t="shared" ref="I2:I65" si="0">G2-H2</f>
        <v>0.19334974680171069</v>
      </c>
      <c r="J2">
        <v>6</v>
      </c>
      <c r="K2">
        <v>4</v>
      </c>
      <c r="L2" s="1">
        <v>6.1945383416664203E-2</v>
      </c>
      <c r="M2" s="4">
        <v>16.143253053640599</v>
      </c>
      <c r="N2" s="21">
        <v>6.5960972190469196</v>
      </c>
      <c r="O2" s="21" t="s">
        <v>294</v>
      </c>
      <c r="P2" s="21">
        <v>0.30323041653087401</v>
      </c>
      <c r="Q2" s="21">
        <v>0</v>
      </c>
      <c r="R2" s="21">
        <v>0</v>
      </c>
      <c r="S2" s="21">
        <v>0</v>
      </c>
      <c r="T2">
        <v>0</v>
      </c>
      <c r="U2" s="21">
        <f t="shared" ref="U2:U33" si="1">G2+T2</f>
        <v>5.1724285714285703</v>
      </c>
      <c r="V2" s="5">
        <v>4.375</v>
      </c>
      <c r="W2" s="5">
        <v>4.1500000000000004</v>
      </c>
      <c r="X2" s="5">
        <v>7.57</v>
      </c>
      <c r="Y2" s="5">
        <v>5.05</v>
      </c>
      <c r="Z2" s="5">
        <v>6.625</v>
      </c>
      <c r="AA2" s="5">
        <v>5.7249999999999996</v>
      </c>
      <c r="AB2" s="5">
        <v>4.4950000000000001</v>
      </c>
      <c r="AC2" s="5">
        <v>5.7833329999999998</v>
      </c>
      <c r="AD2" s="5">
        <v>4.1500000000000004</v>
      </c>
      <c r="AE2" s="5">
        <v>4.6180000000000003</v>
      </c>
      <c r="AF2" s="5">
        <v>4.6112500000000001</v>
      </c>
      <c r="AG2" s="5">
        <v>5.8375000000000004</v>
      </c>
      <c r="AH2" s="5">
        <v>5.05</v>
      </c>
      <c r="AI2" s="5">
        <v>5.2750000000000004</v>
      </c>
      <c r="AJ2" s="5">
        <v>4.1500000000000004</v>
      </c>
      <c r="AK2" s="5">
        <v>6.1433330000000002</v>
      </c>
      <c r="AL2" s="5">
        <v>4.1500000000000004</v>
      </c>
      <c r="AM2" s="36">
        <v>4.82813242099942E-3</v>
      </c>
      <c r="AN2" s="36">
        <v>1.95169008406511E-3</v>
      </c>
      <c r="AO2" s="36">
        <v>2.1139655414755599E-3</v>
      </c>
      <c r="AP2" s="36">
        <v>2.0487171770529901E-3</v>
      </c>
      <c r="AQ2" s="36">
        <v>1.99081509193772E-3</v>
      </c>
      <c r="AR2" s="36">
        <v>1.8065996166926801E-3</v>
      </c>
      <c r="AS2" s="36">
        <v>1.61416232137726E-3</v>
      </c>
      <c r="AT2" s="36">
        <v>1.7635177172215201E-3</v>
      </c>
      <c r="AU2" s="36">
        <v>1.56991489224347E-3</v>
      </c>
      <c r="AV2" s="36">
        <v>1.5465387579625899E-3</v>
      </c>
      <c r="AW2" s="36">
        <v>1.5402501809539499E-3</v>
      </c>
      <c r="AX2" s="36">
        <v>1.68805535988216E-3</v>
      </c>
      <c r="AY2" s="36">
        <v>1.6166847476276401E-3</v>
      </c>
      <c r="AZ2" s="36">
        <v>1.75932102928846E-3</v>
      </c>
      <c r="BA2" s="36">
        <v>1.46510265257042E-3</v>
      </c>
      <c r="BB2" s="36">
        <v>1.7547153051992699E-3</v>
      </c>
      <c r="BC2" s="36">
        <v>1.73683694788994E-3</v>
      </c>
      <c r="BD2" s="6">
        <v>5.2056250000000004</v>
      </c>
      <c r="BE2" s="6">
        <v>4.912534</v>
      </c>
      <c r="BF2" s="6">
        <v>5.3425000000000002</v>
      </c>
      <c r="BG2" s="6">
        <v>4.8598150000000002</v>
      </c>
      <c r="BH2" s="6">
        <v>4.8007580000000001</v>
      </c>
      <c r="BI2" s="6">
        <v>5.0757139999999996</v>
      </c>
      <c r="BJ2" s="6">
        <v>5.0742390000000004</v>
      </c>
      <c r="BK2" s="6">
        <v>4.9830709999999998</v>
      </c>
      <c r="BL2" s="6">
        <v>4.935657</v>
      </c>
      <c r="BM2" s="6">
        <v>4.7102930000000001</v>
      </c>
      <c r="BN2" s="6">
        <v>4.7906120000000003</v>
      </c>
      <c r="BO2" s="6">
        <v>5.0986250000000002</v>
      </c>
      <c r="BP2" s="6">
        <v>4.9782460000000004</v>
      </c>
      <c r="BQ2" s="6">
        <v>5.2637499999999999</v>
      </c>
      <c r="BR2" s="6">
        <v>5.3281879999999999</v>
      </c>
      <c r="BS2" s="6">
        <v>4.7072900000000004</v>
      </c>
      <c r="BT2" s="6">
        <v>5.0320799999999997</v>
      </c>
    </row>
    <row r="3" spans="1:72">
      <c r="A3" s="7" t="s">
        <v>274</v>
      </c>
      <c r="B3" s="1" t="s">
        <v>9</v>
      </c>
      <c r="C3" s="21">
        <v>0.201478698945464</v>
      </c>
      <c r="D3" s="21">
        <v>2.6946969682157099E-2</v>
      </c>
      <c r="E3" s="10">
        <v>2.3804346305280862E-3</v>
      </c>
      <c r="F3" s="3">
        <v>2.9592790481342583E-3</v>
      </c>
      <c r="G3" s="3">
        <v>5.8440737704918</v>
      </c>
      <c r="H3" s="1">
        <v>5.3296110876303597</v>
      </c>
      <c r="I3" s="3">
        <f t="shared" si="0"/>
        <v>0.51446268286144026</v>
      </c>
      <c r="J3">
        <v>2</v>
      </c>
      <c r="K3">
        <v>3</v>
      </c>
      <c r="L3" s="1">
        <v>7.2883117318155902E-2</v>
      </c>
      <c r="M3" s="4">
        <v>13.7205986351367</v>
      </c>
      <c r="N3" s="21">
        <v>5.9209199181002301</v>
      </c>
      <c r="O3" s="21" t="s">
        <v>456</v>
      </c>
      <c r="P3" s="21">
        <v>15.483338542773</v>
      </c>
      <c r="Q3" s="21">
        <v>1.33182212573011E-2</v>
      </c>
      <c r="R3" s="21">
        <v>0</v>
      </c>
      <c r="S3" s="21">
        <v>1.5821214462945099E-2</v>
      </c>
      <c r="T3">
        <v>0</v>
      </c>
      <c r="U3" s="21">
        <f t="shared" si="1"/>
        <v>5.8440737704918</v>
      </c>
      <c r="V3" s="5">
        <v>5.0094120000000002</v>
      </c>
      <c r="W3" s="5">
        <v>5.0162500000000003</v>
      </c>
      <c r="X3" s="5">
        <v>6.0175000000000001</v>
      </c>
      <c r="Y3" s="5">
        <v>3.484</v>
      </c>
      <c r="Z3" s="5">
        <v>5.8239999999999998</v>
      </c>
      <c r="AA3" s="5">
        <v>4.4627499999999998</v>
      </c>
      <c r="AB3" s="5">
        <v>4.9509999999999996</v>
      </c>
      <c r="AC3" s="5">
        <v>5.7596150000000002</v>
      </c>
      <c r="AD3" s="5">
        <v>6.6812500000000004</v>
      </c>
      <c r="AE3" s="5">
        <v>8.6199999999999992</v>
      </c>
      <c r="AF3" s="5">
        <v>8.0875000000000004</v>
      </c>
      <c r="AG3" s="5">
        <v>9.5500000000000007</v>
      </c>
      <c r="AH3" s="5">
        <v>7.444</v>
      </c>
      <c r="AI3" s="5">
        <v>5.1539999999999999</v>
      </c>
      <c r="AJ3" s="5">
        <v>7.0674999999999999</v>
      </c>
      <c r="AK3" s="5">
        <v>6.9142859999999997</v>
      </c>
      <c r="AL3" s="5">
        <v>3.9609999999999999</v>
      </c>
      <c r="AM3" s="36">
        <v>5.9617790029243703E-3</v>
      </c>
      <c r="AN3" s="36">
        <v>2.40994735620498E-3</v>
      </c>
      <c r="AO3" s="36">
        <v>2.6103251276330701E-3</v>
      </c>
      <c r="AP3" s="36">
        <v>2.5297564325207E-3</v>
      </c>
      <c r="AQ3" s="36">
        <v>2.45825892475468E-3</v>
      </c>
      <c r="AR3" s="36">
        <v>2.2307896143536599E-3</v>
      </c>
      <c r="AS3" s="36">
        <v>1.9931679986744501E-3</v>
      </c>
      <c r="AT3" s="36">
        <v>2.17759207516518E-3</v>
      </c>
      <c r="AU3" s="36">
        <v>1.9385312631955501E-3</v>
      </c>
      <c r="AV3" s="36">
        <v>1.90966640731067E-3</v>
      </c>
      <c r="AW3" s="36">
        <v>1.9019012710013801E-3</v>
      </c>
      <c r="AX3" s="36">
        <v>2.0844111392943599E-3</v>
      </c>
      <c r="AY3" s="36">
        <v>1.9962826911776102E-3</v>
      </c>
      <c r="AZ3" s="36">
        <v>2.1724100039584499E-3</v>
      </c>
      <c r="BA3" s="36">
        <v>1.80910908599626E-3</v>
      </c>
      <c r="BB3" s="36">
        <v>2.1667228548138298E-3</v>
      </c>
      <c r="BC3" s="36">
        <v>2.1446466551739902E-3</v>
      </c>
      <c r="BD3" s="6">
        <v>5.3266349999999996</v>
      </c>
      <c r="BE3" s="6">
        <v>5.178839</v>
      </c>
      <c r="BF3" s="6">
        <v>5.231948</v>
      </c>
      <c r="BG3" s="6">
        <v>5.059412</v>
      </c>
      <c r="BH3" s="6">
        <v>5.1535580000000003</v>
      </c>
      <c r="BI3" s="6">
        <v>5.0182859999999998</v>
      </c>
      <c r="BJ3" s="6">
        <v>5.225892</v>
      </c>
      <c r="BK3" s="6">
        <v>5.614484</v>
      </c>
      <c r="BL3" s="6">
        <v>5.4782169999999999</v>
      </c>
      <c r="BM3" s="6">
        <v>5.5059750000000003</v>
      </c>
      <c r="BN3" s="6">
        <v>5.0328900000000001</v>
      </c>
      <c r="BO3" s="6">
        <v>5.5552029999999997</v>
      </c>
      <c r="BP3" s="6">
        <v>5.4015139999999997</v>
      </c>
      <c r="BQ3" s="6">
        <v>5.4867900000000001</v>
      </c>
      <c r="BR3" s="6">
        <v>5.25</v>
      </c>
      <c r="BS3" s="6">
        <v>5.2865630000000001</v>
      </c>
      <c r="BT3" s="6">
        <v>5.1778789999999999</v>
      </c>
    </row>
    <row r="4" spans="1:72">
      <c r="A4" s="7" t="s">
        <v>275</v>
      </c>
      <c r="B4" s="1" t="s">
        <v>10</v>
      </c>
      <c r="C4" s="21">
        <v>0.197063187755563</v>
      </c>
      <c r="D4" s="21">
        <v>3.40710562751785E-2</v>
      </c>
      <c r="E4" s="10">
        <v>2.5447473533386422E-3</v>
      </c>
      <c r="F4" s="3">
        <v>1.8026325521139563E-3</v>
      </c>
      <c r="G4" s="3">
        <v>5.4093918918918904</v>
      </c>
      <c r="H4" s="1">
        <v>5.1416838487972303</v>
      </c>
      <c r="I4" s="3">
        <f t="shared" si="0"/>
        <v>0.26770804309466012</v>
      </c>
      <c r="J4">
        <v>2</v>
      </c>
      <c r="K4">
        <v>3</v>
      </c>
      <c r="L4" s="1">
        <v>8.7505316921617296E-2</v>
      </c>
      <c r="M4" s="4">
        <v>11.4278770156989</v>
      </c>
      <c r="N4" s="21">
        <v>6.6435152664830204</v>
      </c>
      <c r="O4" s="21" t="s">
        <v>294</v>
      </c>
      <c r="P4" s="21">
        <v>0.197063187755563</v>
      </c>
      <c r="Q4" s="21">
        <v>0</v>
      </c>
      <c r="R4" s="21">
        <v>0</v>
      </c>
      <c r="S4" s="21">
        <v>0</v>
      </c>
      <c r="T4">
        <v>0</v>
      </c>
      <c r="U4" s="21">
        <f t="shared" si="1"/>
        <v>5.4093918918918904</v>
      </c>
      <c r="V4" s="5">
        <v>4.5774999999999997</v>
      </c>
      <c r="W4" s="5">
        <v>4.7575000000000003</v>
      </c>
      <c r="X4" s="5">
        <v>7.21</v>
      </c>
      <c r="Y4" s="5">
        <v>3.76</v>
      </c>
      <c r="Z4" s="5">
        <v>4.4850000000000003</v>
      </c>
      <c r="AA4" s="5">
        <v>4.9214289999999998</v>
      </c>
      <c r="AB4" s="5">
        <v>6.97</v>
      </c>
      <c r="AC4" s="5">
        <v>6.5949999999999998</v>
      </c>
      <c r="AD4" s="5">
        <v>5.6349999999999998</v>
      </c>
      <c r="AE4" s="5">
        <v>4.87</v>
      </c>
      <c r="AF4" s="5">
        <v>5.2074999999999996</v>
      </c>
      <c r="AG4" s="5">
        <v>6.9271430000000001</v>
      </c>
      <c r="AH4" s="5">
        <v>3.7</v>
      </c>
      <c r="AI4" s="5">
        <v>6.625</v>
      </c>
      <c r="AJ4" s="5">
        <v>4.0824999999999996</v>
      </c>
      <c r="AK4" s="5">
        <v>6.22</v>
      </c>
      <c r="AL4" s="5">
        <v>4.6900000000000004</v>
      </c>
      <c r="AM4" s="36">
        <v>5.8285426926999997E-3</v>
      </c>
      <c r="AN4" s="36">
        <v>2.3560888529934E-3</v>
      </c>
      <c r="AO4" s="36">
        <v>2.5519884988648399E-3</v>
      </c>
      <c r="AP4" s="36">
        <v>2.4732203863723802E-3</v>
      </c>
      <c r="AQ4" s="36">
        <v>2.4033207345685302E-3</v>
      </c>
      <c r="AR4" s="36">
        <v>2.18093500267524E-3</v>
      </c>
      <c r="AS4" s="36">
        <v>1.9486238534335101E-3</v>
      </c>
      <c r="AT4" s="36">
        <v>2.1289263441599698E-3</v>
      </c>
      <c r="AU4" s="36">
        <v>1.89520816238352E-3</v>
      </c>
      <c r="AV4" s="36">
        <v>1.86698839027168E-3</v>
      </c>
      <c r="AW4" s="36">
        <v>1.85939679244976E-3</v>
      </c>
      <c r="AX4" s="36">
        <v>2.03782785449733E-3</v>
      </c>
      <c r="AY4" s="36">
        <v>1.9516689374965599E-3</v>
      </c>
      <c r="AZ4" s="36">
        <v>2.1238600840301899E-3</v>
      </c>
      <c r="BA4" s="36">
        <v>1.76867836568722E-3</v>
      </c>
      <c r="BB4" s="36">
        <v>2.1183000336537998E-3</v>
      </c>
      <c r="BC4" s="36">
        <v>2.0967172020811701E-3</v>
      </c>
      <c r="BD4" s="6">
        <v>5.4739469999999999</v>
      </c>
      <c r="BE4" s="6">
        <v>5.3615000000000004</v>
      </c>
      <c r="BF4" s="6">
        <v>5.0281250000000002</v>
      </c>
      <c r="BG4" s="6">
        <v>4.8995309999999996</v>
      </c>
      <c r="BH4" s="6">
        <v>5.1950000000000003</v>
      </c>
      <c r="BI4" s="6">
        <v>4.7822279999999999</v>
      </c>
      <c r="BJ4" s="6">
        <v>5.0208820000000003</v>
      </c>
      <c r="BK4" s="6">
        <v>5.1182889999999999</v>
      </c>
      <c r="BL4" s="6">
        <v>4.9578949999999997</v>
      </c>
      <c r="BM4" s="6">
        <v>4.7927840000000002</v>
      </c>
      <c r="BN4" s="6">
        <v>5.2227569999999996</v>
      </c>
      <c r="BO4" s="6">
        <v>5.1355519999999997</v>
      </c>
      <c r="BP4" s="6">
        <v>5.1018819999999998</v>
      </c>
      <c r="BQ4" s="6">
        <v>5.4245890000000001</v>
      </c>
      <c r="BR4" s="6">
        <v>5.1302500000000002</v>
      </c>
      <c r="BS4" s="6">
        <v>5.5404489999999997</v>
      </c>
      <c r="BT4" s="6">
        <v>5.322667</v>
      </c>
    </row>
    <row r="5" spans="1:72">
      <c r="A5" s="7" t="s">
        <v>276</v>
      </c>
      <c r="B5" s="1" t="s">
        <v>11</v>
      </c>
      <c r="C5" s="21">
        <v>0.28718309227821498</v>
      </c>
      <c r="D5" s="21">
        <v>1.60926193039591E-2</v>
      </c>
      <c r="E5" s="10">
        <v>1.7321106056068479E-3</v>
      </c>
      <c r="F5" s="3">
        <v>4.334764957587842E-3</v>
      </c>
      <c r="G5" s="3">
        <v>7.1862946428571401</v>
      </c>
      <c r="H5" s="1">
        <v>6.6358268398267697</v>
      </c>
      <c r="I5" s="3">
        <f t="shared" si="0"/>
        <v>0.55046780303037046</v>
      </c>
      <c r="J5">
        <v>6</v>
      </c>
      <c r="K5">
        <v>4</v>
      </c>
      <c r="L5" s="1">
        <v>3.5720739158044003E-2</v>
      </c>
      <c r="M5" s="4">
        <v>27.9949414141619</v>
      </c>
      <c r="N5" s="21">
        <v>6.6259180776864399</v>
      </c>
      <c r="O5" s="21" t="s">
        <v>294</v>
      </c>
      <c r="P5" s="21">
        <v>0.28718309227821498</v>
      </c>
      <c r="Q5" s="21">
        <v>0</v>
      </c>
      <c r="R5" s="21">
        <v>0</v>
      </c>
      <c r="S5" s="21">
        <v>0</v>
      </c>
      <c r="T5">
        <v>0</v>
      </c>
      <c r="U5" s="21">
        <f t="shared" si="1"/>
        <v>7.1862946428571401</v>
      </c>
      <c r="V5" s="5">
        <v>9.4600000000000009</v>
      </c>
      <c r="W5" s="5">
        <v>8.0649999999999995</v>
      </c>
      <c r="X5" s="5">
        <v>8.3125</v>
      </c>
      <c r="Y5" s="5">
        <v>7.6</v>
      </c>
      <c r="Z5" s="5">
        <v>4.84</v>
      </c>
      <c r="AA5" s="5">
        <v>7.21</v>
      </c>
      <c r="AB5" s="5">
        <v>6.5609089999999997</v>
      </c>
      <c r="AC5" s="5">
        <v>6.9429999999999996</v>
      </c>
      <c r="AD5" s="5">
        <v>7.093</v>
      </c>
      <c r="AE5" s="5">
        <v>6.0309999999999997</v>
      </c>
      <c r="AF5" s="5">
        <v>6.13</v>
      </c>
      <c r="AG5" s="5">
        <v>8.35</v>
      </c>
      <c r="AH5" s="5">
        <v>7.42</v>
      </c>
      <c r="AI5" s="5">
        <v>8.1357140000000001</v>
      </c>
      <c r="AJ5" s="5">
        <v>5.5</v>
      </c>
      <c r="AK5" s="5">
        <v>7.12</v>
      </c>
      <c r="AL5" s="5">
        <v>6.2350000000000003</v>
      </c>
      <c r="AM5" s="36">
        <v>4.57262175231073E-3</v>
      </c>
      <c r="AN5" s="36">
        <v>1.84840425945027E-3</v>
      </c>
      <c r="AO5" s="36">
        <v>2.0020919013206198E-3</v>
      </c>
      <c r="AP5" s="36">
        <v>1.9402965600901999E-3</v>
      </c>
      <c r="AQ5" s="36">
        <v>1.8854587240874599E-3</v>
      </c>
      <c r="AR5" s="36">
        <v>1.71099215694154E-3</v>
      </c>
      <c r="AS5" s="36">
        <v>1.52873887849211E-3</v>
      </c>
      <c r="AT5" s="36">
        <v>1.6701902042453301E-3</v>
      </c>
      <c r="AU5" s="36">
        <v>1.4868330773875199E-3</v>
      </c>
      <c r="AV5" s="36">
        <v>1.46469403670322E-3</v>
      </c>
      <c r="AW5" s="36">
        <v>1.4587382588758201E-3</v>
      </c>
      <c r="AX5" s="36">
        <v>1.5987214070868601E-3</v>
      </c>
      <c r="AY5" s="36">
        <v>1.5311278148624E-3</v>
      </c>
      <c r="AZ5" s="36">
        <v>1.6662156101669E-3</v>
      </c>
      <c r="BA5" s="36">
        <v>1.38756762954006E-3</v>
      </c>
      <c r="BB5" s="36">
        <v>1.6618536266256501E-3</v>
      </c>
      <c r="BC5" s="36">
        <v>1.64492141383615E-3</v>
      </c>
      <c r="BD5" s="6">
        <v>6.58</v>
      </c>
      <c r="BE5" s="6">
        <v>6.742254</v>
      </c>
      <c r="BF5" s="6">
        <v>6.731452</v>
      </c>
      <c r="BG5" s="6">
        <v>6.9440980000000003</v>
      </c>
      <c r="BH5" s="6">
        <v>6.4390000000000001</v>
      </c>
      <c r="BI5" s="6">
        <v>6.8904579999999997</v>
      </c>
      <c r="BJ5" s="6">
        <v>6.4972630000000002</v>
      </c>
      <c r="BK5" s="6">
        <v>6.4785729999999999</v>
      </c>
      <c r="BL5" s="6">
        <v>5.9986379999999997</v>
      </c>
      <c r="BM5" s="6">
        <v>6.5463420000000001</v>
      </c>
      <c r="BN5" s="6">
        <v>6.3842420000000004</v>
      </c>
      <c r="BO5" s="6">
        <v>6.6174080000000002</v>
      </c>
      <c r="BP5" s="6">
        <v>6.8220169999999998</v>
      </c>
      <c r="BQ5" s="6">
        <v>7.2060180000000003</v>
      </c>
      <c r="BR5" s="6">
        <v>6.61313</v>
      </c>
      <c r="BS5" s="6">
        <v>6.6306640000000003</v>
      </c>
      <c r="BT5" s="6">
        <v>7.121378</v>
      </c>
    </row>
    <row r="6" spans="1:72">
      <c r="A6" s="7" t="s">
        <v>277</v>
      </c>
      <c r="B6" s="1" t="s">
        <v>12</v>
      </c>
      <c r="C6" s="21">
        <v>0.33010922094700501</v>
      </c>
      <c r="D6" s="21">
        <v>2.4085650217706499E-2</v>
      </c>
      <c r="E6" s="10">
        <v>1.9910144363825969E-3</v>
      </c>
      <c r="F6" s="3">
        <v>6.3841053170218629E-3</v>
      </c>
      <c r="G6" s="3">
        <v>8.5507894736842207</v>
      </c>
      <c r="H6" s="1">
        <v>8.5226404199473205</v>
      </c>
      <c r="I6" s="3">
        <f t="shared" si="0"/>
        <v>2.8149053736900242E-2</v>
      </c>
      <c r="J6">
        <v>6</v>
      </c>
      <c r="K6">
        <v>4</v>
      </c>
      <c r="L6" s="1">
        <v>9.8012636283546395E-2</v>
      </c>
      <c r="M6" s="4">
        <v>10.202766070969099</v>
      </c>
      <c r="N6" s="21">
        <v>7.2357990951764997</v>
      </c>
      <c r="O6" s="21" t="s">
        <v>294</v>
      </c>
      <c r="P6" s="21">
        <v>0.33010922094700501</v>
      </c>
      <c r="Q6" s="21">
        <v>0</v>
      </c>
      <c r="R6" s="21">
        <v>0</v>
      </c>
      <c r="S6" s="21">
        <v>0</v>
      </c>
      <c r="T6">
        <v>0</v>
      </c>
      <c r="U6" s="21">
        <f t="shared" si="1"/>
        <v>8.5507894736842207</v>
      </c>
      <c r="V6" s="5">
        <v>0</v>
      </c>
      <c r="W6" s="5">
        <v>9.5500000000000007</v>
      </c>
      <c r="X6" s="5">
        <v>9.5500000000000007</v>
      </c>
      <c r="Y6" s="5">
        <v>9.5500000000000007</v>
      </c>
      <c r="Z6" s="5">
        <v>9.5500000000000007</v>
      </c>
      <c r="AA6" s="5">
        <v>7.57</v>
      </c>
      <c r="AB6" s="5">
        <v>8.1999999999999993</v>
      </c>
      <c r="AC6" s="5">
        <v>9.1964290000000002</v>
      </c>
      <c r="AD6" s="5">
        <v>9.1</v>
      </c>
      <c r="AE6" s="5">
        <v>8.444286</v>
      </c>
      <c r="AF6" s="5">
        <v>8.5374999999999996</v>
      </c>
      <c r="AG6" s="5">
        <v>9.5500000000000007</v>
      </c>
      <c r="AH6" s="5">
        <v>9.5500000000000007</v>
      </c>
      <c r="AI6" s="5">
        <v>0</v>
      </c>
      <c r="AJ6" s="5">
        <v>8.0875000000000004</v>
      </c>
      <c r="AK6" s="5">
        <v>3.7</v>
      </c>
      <c r="AL6" s="5">
        <v>8.9124999999999996</v>
      </c>
      <c r="AM6" s="36">
        <v>5.2561054077595098E-3</v>
      </c>
      <c r="AN6" s="36">
        <v>2.1246908557246598E-3</v>
      </c>
      <c r="AO6" s="36">
        <v>2.3013506560093299E-3</v>
      </c>
      <c r="AP6" s="36">
        <v>2.2303185775192601E-3</v>
      </c>
      <c r="AQ6" s="36">
        <v>2.1672839636857101E-3</v>
      </c>
      <c r="AR6" s="36">
        <v>1.9667393490812898E-3</v>
      </c>
      <c r="AS6" s="36">
        <v>1.75724411979497E-3</v>
      </c>
      <c r="AT6" s="36">
        <v>1.91983860464395E-3</v>
      </c>
      <c r="AU6" s="36">
        <v>1.7090745313764601E-3</v>
      </c>
      <c r="AV6" s="36">
        <v>1.68362630106864E-3</v>
      </c>
      <c r="AW6" s="36">
        <v>1.67678029504809E-3</v>
      </c>
      <c r="AX6" s="36">
        <v>1.8376871494004E-3</v>
      </c>
      <c r="AY6" s="36">
        <v>1.7599901377371499E-3</v>
      </c>
      <c r="AZ6" s="36">
        <v>1.91526991592206E-3</v>
      </c>
      <c r="BA6" s="36">
        <v>1.5949715756769099E-3</v>
      </c>
      <c r="BB6" s="36">
        <v>1.91025593345825E-3</v>
      </c>
      <c r="BC6" s="36">
        <v>1.8907928114182001E-3</v>
      </c>
      <c r="BD6" s="6">
        <v>8.5419999999999998</v>
      </c>
      <c r="BE6" s="6">
        <v>8.6534619999999993</v>
      </c>
      <c r="BF6" s="6">
        <v>8.837059</v>
      </c>
      <c r="BG6" s="6">
        <v>8.5414290000000008</v>
      </c>
      <c r="BH6" s="6">
        <v>8.85</v>
      </c>
      <c r="BI6" s="6">
        <v>8.4016959999999994</v>
      </c>
      <c r="BJ6" s="6">
        <v>8.6077779999999997</v>
      </c>
      <c r="BK6" s="6">
        <v>8.4046380000000003</v>
      </c>
      <c r="BL6" s="6">
        <v>8.6213820000000005</v>
      </c>
      <c r="BM6" s="6">
        <v>8.4819720000000007</v>
      </c>
      <c r="BN6" s="6">
        <v>8.4762269999999997</v>
      </c>
      <c r="BO6" s="6">
        <v>8.4759039999999999</v>
      </c>
      <c r="BP6" s="6">
        <v>8.4815839999999998</v>
      </c>
      <c r="BQ6" s="6">
        <v>7.966234</v>
      </c>
      <c r="BR6" s="6">
        <v>8.3170000000000002</v>
      </c>
      <c r="BS6" s="6">
        <v>8.6363289999999999</v>
      </c>
      <c r="BT6" s="6">
        <v>8.4626760000000001</v>
      </c>
    </row>
    <row r="7" spans="1:72">
      <c r="A7" s="7" t="s">
        <v>278</v>
      </c>
      <c r="B7" s="1" t="s">
        <v>13</v>
      </c>
      <c r="C7" s="21">
        <v>0.37565762538980302</v>
      </c>
      <c r="D7" s="21">
        <v>1.7054247018510101E-2</v>
      </c>
      <c r="E7" s="10">
        <v>3.3957809686685201E-3</v>
      </c>
      <c r="F7" s="3">
        <v>6.5588945904861617E-3</v>
      </c>
      <c r="G7" s="3">
        <v>6.1794062500000004</v>
      </c>
      <c r="H7" s="1">
        <v>5.9710521853805396</v>
      </c>
      <c r="I7" s="3">
        <f t="shared" si="0"/>
        <v>0.20835406461946082</v>
      </c>
      <c r="J7">
        <v>2</v>
      </c>
      <c r="K7">
        <v>3</v>
      </c>
      <c r="L7" s="1">
        <v>0.115107667106379</v>
      </c>
      <c r="M7" s="4">
        <v>8.6875186087806906</v>
      </c>
      <c r="N7" s="21">
        <v>6.7039958923009699</v>
      </c>
      <c r="O7" s="21" t="s">
        <v>294</v>
      </c>
      <c r="P7" s="21">
        <v>0.37565762538980302</v>
      </c>
      <c r="Q7" s="21">
        <v>0</v>
      </c>
      <c r="R7" s="21">
        <v>0</v>
      </c>
      <c r="S7" s="21">
        <v>0</v>
      </c>
      <c r="T7">
        <v>3.6689985772020401</v>
      </c>
      <c r="U7" s="21">
        <f t="shared" si="1"/>
        <v>9.8484048272020406</v>
      </c>
      <c r="V7" s="5">
        <v>4.5999999999999996</v>
      </c>
      <c r="W7" s="5">
        <v>6.55</v>
      </c>
      <c r="X7" s="5">
        <v>6.22</v>
      </c>
      <c r="Y7" s="5">
        <v>5.95</v>
      </c>
      <c r="Z7" s="5">
        <v>5.05</v>
      </c>
      <c r="AA7" s="5">
        <v>9.5500000000000007</v>
      </c>
      <c r="AB7" s="5">
        <v>5.95</v>
      </c>
      <c r="AC7" s="5">
        <v>4.9420000000000002</v>
      </c>
      <c r="AD7" s="5">
        <v>4.2039999999999997</v>
      </c>
      <c r="AE7" s="5">
        <v>5.3949999999999996</v>
      </c>
      <c r="AF7" s="5">
        <v>5.36</v>
      </c>
      <c r="AG7" s="5">
        <v>6.76</v>
      </c>
      <c r="AH7" s="5">
        <v>6.8724999999999996</v>
      </c>
      <c r="AI7" s="5">
        <v>6.6</v>
      </c>
      <c r="AJ7" s="5">
        <v>5.4550000000000001</v>
      </c>
      <c r="AK7" s="5">
        <v>7.66</v>
      </c>
      <c r="AL7" s="5">
        <v>6.5012499999999998</v>
      </c>
      <c r="AM7" s="36">
        <v>8.4251727825345405E-3</v>
      </c>
      <c r="AN7" s="36">
        <v>3.4057322257131E-3</v>
      </c>
      <c r="AO7" s="36">
        <v>3.6889056451291399E-3</v>
      </c>
      <c r="AP7" s="36">
        <v>3.5750461449947E-3</v>
      </c>
      <c r="AQ7" s="36">
        <v>3.4740060265746999E-3</v>
      </c>
      <c r="AR7" s="36">
        <v>3.1525469047399999E-3</v>
      </c>
      <c r="AS7" s="36">
        <v>2.8167405677422199E-3</v>
      </c>
      <c r="AT7" s="36">
        <v>3.0773682610752999E-3</v>
      </c>
      <c r="AU7" s="36">
        <v>2.7395280550916198E-3</v>
      </c>
      <c r="AV7" s="36">
        <v>2.6987363051703601E-3</v>
      </c>
      <c r="AW7" s="36">
        <v>2.6877626318668698E-3</v>
      </c>
      <c r="AX7" s="36">
        <v>2.9456851704466702E-3</v>
      </c>
      <c r="AY7" s="36">
        <v>2.8211422442368799E-3</v>
      </c>
      <c r="AZ7" s="36">
        <v>3.07004496961034E-3</v>
      </c>
      <c r="BA7" s="36">
        <v>2.5566289230941099E-3</v>
      </c>
      <c r="BB7" s="36">
        <v>3.0620079031306899E-3</v>
      </c>
      <c r="BC7" s="36">
        <v>3.0308098670652601E-3</v>
      </c>
      <c r="BD7" s="6">
        <v>5.9271739999999999</v>
      </c>
      <c r="BE7" s="6">
        <v>6.189654</v>
      </c>
      <c r="BF7" s="6">
        <v>6.172974</v>
      </c>
      <c r="BG7" s="6">
        <v>6.1157630000000003</v>
      </c>
      <c r="BH7" s="6">
        <v>5.8108040000000001</v>
      </c>
      <c r="BI7" s="6">
        <v>6.225676</v>
      </c>
      <c r="BJ7" s="6">
        <v>5.7663729999999997</v>
      </c>
      <c r="BK7" s="6">
        <v>5.4844439999999999</v>
      </c>
      <c r="BL7" s="6">
        <v>5.4660190000000002</v>
      </c>
      <c r="BM7" s="6">
        <v>6.1312540000000002</v>
      </c>
      <c r="BN7" s="6">
        <v>5.4479660000000001</v>
      </c>
      <c r="BO7" s="6">
        <v>6.1581580000000002</v>
      </c>
      <c r="BP7" s="6">
        <v>6.0841349999999998</v>
      </c>
      <c r="BQ7" s="6">
        <v>6.3357659999999996</v>
      </c>
      <c r="BR7" s="6">
        <v>6.4324000000000003</v>
      </c>
      <c r="BS7" s="6">
        <v>6.13</v>
      </c>
      <c r="BT7" s="6">
        <v>6.1598560000000004</v>
      </c>
    </row>
    <row r="8" spans="1:72">
      <c r="A8" s="7" t="s">
        <v>279</v>
      </c>
      <c r="B8" s="1" t="s">
        <v>14</v>
      </c>
      <c r="C8" s="21">
        <v>0.371122189408921</v>
      </c>
      <c r="D8" s="21">
        <v>3.00013122206449E-2</v>
      </c>
      <c r="E8" s="10">
        <v>2.2782432401034021E-3</v>
      </c>
      <c r="F8" s="3">
        <v>2.2842478506556528E-3</v>
      </c>
      <c r="G8" s="3">
        <v>4.7973170731707304</v>
      </c>
      <c r="H8" s="1">
        <v>5.1782645206437898</v>
      </c>
      <c r="I8" s="3">
        <f t="shared" si="0"/>
        <v>-0.38094744747305942</v>
      </c>
      <c r="J8">
        <v>3</v>
      </c>
      <c r="K8">
        <v>2</v>
      </c>
      <c r="L8" s="1">
        <v>8.5221363146236601E-2</v>
      </c>
      <c r="M8" s="4">
        <v>11.7341469683375</v>
      </c>
      <c r="N8" s="21">
        <v>6.2861122347175398</v>
      </c>
      <c r="O8" s="21" t="s">
        <v>294</v>
      </c>
      <c r="P8" s="21">
        <v>0.371122189408921</v>
      </c>
      <c r="Q8" s="21">
        <v>0</v>
      </c>
      <c r="R8" s="21">
        <v>0</v>
      </c>
      <c r="S8" s="21">
        <v>0</v>
      </c>
      <c r="T8">
        <v>0</v>
      </c>
      <c r="U8" s="21">
        <f t="shared" si="1"/>
        <v>4.7973170731707304</v>
      </c>
      <c r="V8" s="5">
        <v>0</v>
      </c>
      <c r="W8" s="5">
        <v>4.57</v>
      </c>
      <c r="X8" s="5">
        <v>6.625</v>
      </c>
      <c r="Y8" s="5">
        <v>3.7</v>
      </c>
      <c r="Z8" s="5">
        <v>5.5</v>
      </c>
      <c r="AA8" s="5">
        <v>2.8</v>
      </c>
      <c r="AB8" s="5">
        <v>5.4524999999999997</v>
      </c>
      <c r="AC8" s="5">
        <v>7.5250000000000004</v>
      </c>
      <c r="AD8" s="5">
        <v>5.47</v>
      </c>
      <c r="AE8" s="5">
        <v>3.7</v>
      </c>
      <c r="AF8" s="5">
        <v>4.1500000000000004</v>
      </c>
      <c r="AG8" s="5">
        <v>5.5</v>
      </c>
      <c r="AH8" s="5">
        <v>0</v>
      </c>
      <c r="AI8" s="5">
        <v>5.05</v>
      </c>
      <c r="AJ8" s="5">
        <v>3.8157139999999998</v>
      </c>
      <c r="AK8" s="5">
        <v>4.5999999999999996</v>
      </c>
      <c r="AL8" s="5">
        <v>5.5</v>
      </c>
      <c r="AM8" s="36">
        <v>6.4736271855533904E-3</v>
      </c>
      <c r="AN8" s="36">
        <v>2.6168532435080901E-3</v>
      </c>
      <c r="AO8" s="36">
        <v>2.8344344366152499E-3</v>
      </c>
      <c r="AP8" s="36">
        <v>2.74694852096354E-3</v>
      </c>
      <c r="AQ8" s="36">
        <v>2.6693125989096702E-3</v>
      </c>
      <c r="AR8" s="36">
        <v>2.42231392435819E-3</v>
      </c>
      <c r="AS8" s="36">
        <v>2.1642913189611301E-3</v>
      </c>
      <c r="AT8" s="36">
        <v>2.3645491135984901E-3</v>
      </c>
      <c r="AU8" s="36">
        <v>2.1049637497988702E-3</v>
      </c>
      <c r="AV8" s="36">
        <v>2.0736207034243201E-3</v>
      </c>
      <c r="AW8" s="36">
        <v>2.0651888917978499E-3</v>
      </c>
      <c r="AX8" s="36">
        <v>2.2633681340062002E-3</v>
      </c>
      <c r="AY8" s="36">
        <v>2.1676734232043702E-3</v>
      </c>
      <c r="AZ8" s="36">
        <v>2.3589221359757201E-3</v>
      </c>
      <c r="BA8" s="36">
        <v>1.96443003925377E-3</v>
      </c>
      <c r="BB8" s="36">
        <v>2.3527467169786702E-3</v>
      </c>
      <c r="BC8" s="36">
        <v>2.3287751665283601E-3</v>
      </c>
      <c r="BD8" s="6">
        <v>4.0489660000000001</v>
      </c>
      <c r="BE8" s="6">
        <v>5.3908329999999998</v>
      </c>
      <c r="BF8" s="6">
        <v>5.3314620000000001</v>
      </c>
      <c r="BG8" s="6">
        <v>5.390244</v>
      </c>
      <c r="BH8" s="6">
        <v>5.8488889999999998</v>
      </c>
      <c r="BI8" s="6">
        <v>5.0558439999999996</v>
      </c>
      <c r="BJ8" s="6">
        <v>5.079879</v>
      </c>
      <c r="BK8" s="6">
        <v>5.50387</v>
      </c>
      <c r="BL8" s="6">
        <v>5.0915650000000001</v>
      </c>
      <c r="BM8" s="6">
        <v>5.0186500000000001</v>
      </c>
      <c r="BN8" s="6">
        <v>5.1250780000000002</v>
      </c>
      <c r="BO8" s="6">
        <v>5.0678179999999999</v>
      </c>
      <c r="BP8" s="6">
        <v>5.2862499999999999</v>
      </c>
      <c r="BQ8" s="6">
        <v>5.576829</v>
      </c>
      <c r="BR8" s="6">
        <v>4.9227590000000001</v>
      </c>
      <c r="BS8" s="6">
        <v>5.2028569999999998</v>
      </c>
      <c r="BT8" s="6">
        <v>5.0056250000000002</v>
      </c>
    </row>
    <row r="9" spans="1:72">
      <c r="A9" s="7" t="s">
        <v>468</v>
      </c>
      <c r="B9" s="1" t="s">
        <v>15</v>
      </c>
      <c r="C9" s="21">
        <v>0.44017340929399801</v>
      </c>
      <c r="D9" s="21">
        <v>1.0006155027089901E-2</v>
      </c>
      <c r="E9" s="10">
        <v>2.6548534751678131E-3</v>
      </c>
      <c r="F9" s="3">
        <v>2.0505012241161486E-2</v>
      </c>
      <c r="G9" s="3">
        <v>7.04629152542371</v>
      </c>
      <c r="H9" s="1">
        <v>7.1036501808140997</v>
      </c>
      <c r="I9" s="3">
        <f t="shared" si="0"/>
        <v>-5.7358655390389757E-2</v>
      </c>
      <c r="J9">
        <v>4</v>
      </c>
      <c r="K9">
        <v>1</v>
      </c>
      <c r="L9" s="1">
        <v>4.5632665540511798E-2</v>
      </c>
      <c r="M9" s="4">
        <v>21.9141263863322</v>
      </c>
      <c r="N9" s="21">
        <v>6.9096968141381803</v>
      </c>
      <c r="O9" s="21" t="s">
        <v>294</v>
      </c>
      <c r="P9" s="21">
        <v>0.44017340929399801</v>
      </c>
      <c r="Q9" s="21">
        <v>0</v>
      </c>
      <c r="R9" s="21">
        <v>0</v>
      </c>
      <c r="S9" s="21">
        <v>0</v>
      </c>
      <c r="T9">
        <v>0</v>
      </c>
      <c r="U9" s="21">
        <f t="shared" si="1"/>
        <v>7.04629152542371</v>
      </c>
      <c r="V9" s="5">
        <v>6.7874999999999996</v>
      </c>
      <c r="W9" s="5">
        <v>7.8</v>
      </c>
      <c r="X9" s="5">
        <v>7.3835709999999999</v>
      </c>
      <c r="Y9" s="5">
        <v>6.8612500000000001</v>
      </c>
      <c r="Z9" s="5">
        <v>6.7960000000000003</v>
      </c>
      <c r="AA9" s="5">
        <v>4.7671429999999999</v>
      </c>
      <c r="AB9" s="5">
        <v>7.4432499999999999</v>
      </c>
      <c r="AC9" s="5">
        <v>6.8885709999999998</v>
      </c>
      <c r="AD9" s="5">
        <v>6.8242859999999999</v>
      </c>
      <c r="AE9" s="5">
        <v>8.7568750000000009</v>
      </c>
      <c r="AF9" s="5">
        <v>6.3446670000000003</v>
      </c>
      <c r="AG9" s="5">
        <v>6.2067649999999999</v>
      </c>
      <c r="AH9" s="5">
        <v>7.5047499999999996</v>
      </c>
      <c r="AI9" s="5">
        <v>7.5170589999999997</v>
      </c>
      <c r="AJ9" s="5">
        <v>6.7192860000000003</v>
      </c>
      <c r="AK9" s="5">
        <v>6.3475000000000001</v>
      </c>
      <c r="AL9" s="5">
        <v>7.6431250000000004</v>
      </c>
      <c r="AM9" s="36">
        <v>7.00858288752116E-3</v>
      </c>
      <c r="AN9" s="36">
        <v>2.8330999509106301E-3</v>
      </c>
      <c r="AO9" s="36">
        <v>3.0686612186432401E-3</v>
      </c>
      <c r="AP9" s="36">
        <v>2.97394580273174E-3</v>
      </c>
      <c r="AQ9" s="36">
        <v>2.8898943460803701E-3</v>
      </c>
      <c r="AR9" s="36">
        <v>2.6224846491542E-3</v>
      </c>
      <c r="AS9" s="36">
        <v>2.3431400460520802E-3</v>
      </c>
      <c r="AT9" s="36">
        <v>2.5599463761602301E-3</v>
      </c>
      <c r="AU9" s="36">
        <v>2.2789098742997198E-3</v>
      </c>
      <c r="AV9" s="36">
        <v>2.24497675888127E-3</v>
      </c>
      <c r="AW9" s="36">
        <v>2.2358481747070101E-3</v>
      </c>
      <c r="AX9" s="36">
        <v>2.4504041887918101E-3</v>
      </c>
      <c r="AY9" s="36">
        <v>2.3468016344079701E-3</v>
      </c>
      <c r="AZ9" s="36">
        <v>2.5538544067055398E-3</v>
      </c>
      <c r="BA9" s="36">
        <v>2.1267629973457502E-3</v>
      </c>
      <c r="BB9" s="36">
        <v>2.5471686747865598E-3</v>
      </c>
      <c r="BC9" s="36">
        <v>2.5212162074204599E-3</v>
      </c>
      <c r="BD9" s="6">
        <v>7.2873450000000002</v>
      </c>
      <c r="BE9" s="6">
        <v>7.2671580000000002</v>
      </c>
      <c r="BF9" s="6">
        <v>7.28348</v>
      </c>
      <c r="BG9" s="6">
        <v>7.4388730000000001</v>
      </c>
      <c r="BH9" s="6">
        <v>7.284592</v>
      </c>
      <c r="BI9" s="6">
        <v>6.753349</v>
      </c>
      <c r="BJ9" s="6">
        <v>6.9866429999999999</v>
      </c>
      <c r="BK9" s="6">
        <v>6.9997319999999998</v>
      </c>
      <c r="BL9" s="6">
        <v>7.0288579999999996</v>
      </c>
      <c r="BM9" s="6">
        <v>7.108295</v>
      </c>
      <c r="BN9" s="6">
        <v>6.9121490000000003</v>
      </c>
      <c r="BO9" s="6">
        <v>6.9762630000000003</v>
      </c>
      <c r="BP9" s="6">
        <v>7.2723420000000001</v>
      </c>
      <c r="BQ9" s="6">
        <v>7.3086679999999999</v>
      </c>
      <c r="BR9" s="6">
        <v>7.4145190000000003</v>
      </c>
      <c r="BS9" s="6">
        <v>6.9363320000000002</v>
      </c>
      <c r="BT9" s="6">
        <v>7.1670590000000001</v>
      </c>
    </row>
    <row r="10" spans="1:72">
      <c r="A10" s="7" t="s">
        <v>281</v>
      </c>
      <c r="B10" s="1" t="s">
        <v>16</v>
      </c>
      <c r="C10" s="21">
        <v>0.87757994580409504</v>
      </c>
      <c r="D10" s="21">
        <v>6.6520274631724496E-2</v>
      </c>
      <c r="E10" s="10">
        <v>5.293018886789333E-3</v>
      </c>
      <c r="F10" s="3">
        <v>4.3232397841936627E-3</v>
      </c>
      <c r="G10" s="3">
        <v>8.7062500000000007</v>
      </c>
      <c r="H10" s="1">
        <v>8.9806572541383005</v>
      </c>
      <c r="I10" s="3">
        <f t="shared" si="0"/>
        <v>-0.27440725413829981</v>
      </c>
      <c r="J10">
        <v>3</v>
      </c>
      <c r="K10">
        <v>2</v>
      </c>
      <c r="L10" s="1">
        <v>0.223237232807903</v>
      </c>
      <c r="M10" s="4">
        <v>4.4795394899940604</v>
      </c>
      <c r="N10" s="21">
        <v>9.5500000000000007</v>
      </c>
      <c r="O10" s="21" t="s">
        <v>294</v>
      </c>
      <c r="P10" s="21">
        <v>0.87757994580409504</v>
      </c>
      <c r="Q10" s="21">
        <v>0</v>
      </c>
      <c r="R10" s="21">
        <v>0</v>
      </c>
      <c r="S10" s="21">
        <v>0</v>
      </c>
      <c r="T10">
        <v>1.2454188021335999</v>
      </c>
      <c r="U10" s="21">
        <f t="shared" si="1"/>
        <v>9.9516688021336002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2.8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9.5500000000000007</v>
      </c>
      <c r="AJ10" s="5">
        <v>9.5500000000000007</v>
      </c>
      <c r="AK10" s="5">
        <v>9.5500000000000007</v>
      </c>
      <c r="AL10" s="5">
        <v>9.5500000000000007</v>
      </c>
      <c r="AM10" s="36">
        <v>1.3973110734833699E-2</v>
      </c>
      <c r="AN10" s="36">
        <v>5.6483914041184696E-3</v>
      </c>
      <c r="AO10" s="36">
        <v>6.1180332321014398E-3</v>
      </c>
      <c r="AP10" s="36">
        <v>5.9291977690602996E-3</v>
      </c>
      <c r="AQ10" s="36">
        <v>5.7616231922789102E-3</v>
      </c>
      <c r="AR10" s="36">
        <v>5.2284847009912098E-3</v>
      </c>
      <c r="AS10" s="36">
        <v>4.6715514186191302E-3</v>
      </c>
      <c r="AT10" s="36">
        <v>5.1038012624510399E-3</v>
      </c>
      <c r="AU10" s="36">
        <v>4.5434948176176502E-3</v>
      </c>
      <c r="AV10" s="36">
        <v>4.4758418859295298E-3</v>
      </c>
      <c r="AW10" s="36">
        <v>4.4576420986734899E-3</v>
      </c>
      <c r="AX10" s="36">
        <v>4.8854054556524704E-3</v>
      </c>
      <c r="AY10" s="36">
        <v>4.6788515790628796E-3</v>
      </c>
      <c r="AZ10" s="36">
        <v>5.0916556168690797E-3</v>
      </c>
      <c r="BA10" s="36">
        <v>4.2401574391838E-3</v>
      </c>
      <c r="BB10" s="36">
        <v>5.0783261786721398E-3</v>
      </c>
      <c r="BC10" s="36">
        <v>5.02658437777338E-3</v>
      </c>
      <c r="BD10" s="6">
        <v>8.9350000000000005</v>
      </c>
      <c r="BE10" s="6">
        <v>9.4187499999999993</v>
      </c>
      <c r="BF10" s="6">
        <v>9.5172729999999994</v>
      </c>
      <c r="BG10" s="6">
        <v>9.19</v>
      </c>
      <c r="BH10" s="6">
        <v>9.0659089999999996</v>
      </c>
      <c r="BI10" s="6">
        <v>9.0124320000000004</v>
      </c>
      <c r="BJ10" s="6">
        <v>9.0206879999999998</v>
      </c>
      <c r="BK10" s="6">
        <v>9.0516249999999996</v>
      </c>
      <c r="BL10" s="6">
        <v>8.8292739999999998</v>
      </c>
      <c r="BM10" s="6">
        <v>8.8446840000000009</v>
      </c>
      <c r="BN10" s="6">
        <v>8.7436819999999997</v>
      </c>
      <c r="BO10" s="6">
        <v>8.8505380000000002</v>
      </c>
      <c r="BP10" s="6">
        <v>9.0273679999999992</v>
      </c>
      <c r="BQ10" s="6">
        <v>8.7057140000000004</v>
      </c>
      <c r="BR10" s="6">
        <v>9.3699999999999992</v>
      </c>
      <c r="BS10" s="6">
        <v>9.0710709999999999</v>
      </c>
      <c r="BT10" s="6">
        <v>8.8382649999999998</v>
      </c>
    </row>
    <row r="11" spans="1:72">
      <c r="A11" s="7" t="s">
        <v>282</v>
      </c>
      <c r="B11" s="1" t="s">
        <v>17</v>
      </c>
      <c r="C11" s="21">
        <v>0.33286575153755299</v>
      </c>
      <c r="D11" s="21">
        <v>3.00971454589864E-2</v>
      </c>
      <c r="E11" s="10">
        <v>2.0076401222218678E-3</v>
      </c>
      <c r="F11" s="3">
        <v>2.3100709398309388E-3</v>
      </c>
      <c r="G11" s="3">
        <v>5.1817073170731698</v>
      </c>
      <c r="H11" s="1">
        <v>6.0078485958486096</v>
      </c>
      <c r="I11" s="3">
        <f t="shared" si="0"/>
        <v>-0.82614127877543986</v>
      </c>
      <c r="J11">
        <v>7</v>
      </c>
      <c r="K11">
        <v>4</v>
      </c>
      <c r="L11" s="1">
        <v>9.7212078007365796E-2</v>
      </c>
      <c r="M11" s="4">
        <v>10.2867876142328</v>
      </c>
      <c r="N11" s="21">
        <v>6.8563045207075204</v>
      </c>
      <c r="O11" s="21" t="s">
        <v>294</v>
      </c>
      <c r="P11" s="21">
        <v>0.33286575153755299</v>
      </c>
      <c r="Q11" s="21">
        <v>0</v>
      </c>
      <c r="R11" s="21">
        <v>0</v>
      </c>
      <c r="S11" s="21">
        <v>0</v>
      </c>
      <c r="T11">
        <v>0</v>
      </c>
      <c r="U11" s="21">
        <f t="shared" si="1"/>
        <v>5.1817073170731698</v>
      </c>
      <c r="V11" s="5">
        <v>0</v>
      </c>
      <c r="W11" s="5">
        <v>3.7</v>
      </c>
      <c r="X11" s="5">
        <v>5.2</v>
      </c>
      <c r="Y11" s="5">
        <v>0</v>
      </c>
      <c r="Z11" s="5">
        <v>0</v>
      </c>
      <c r="AA11" s="5">
        <v>0</v>
      </c>
      <c r="AB11" s="5">
        <v>5.47</v>
      </c>
      <c r="AC11" s="5">
        <v>5.56</v>
      </c>
      <c r="AD11" s="5">
        <v>8.1999999999999993</v>
      </c>
      <c r="AE11" s="5">
        <v>2.7774999999999999</v>
      </c>
      <c r="AF11" s="5">
        <v>6.3250000000000002</v>
      </c>
      <c r="AG11" s="5">
        <v>4.0824999999999996</v>
      </c>
      <c r="AH11" s="5">
        <v>3.7</v>
      </c>
      <c r="AI11" s="5">
        <v>4.5999999999999996</v>
      </c>
      <c r="AJ11" s="5">
        <v>0</v>
      </c>
      <c r="AK11" s="5">
        <v>9.5500000000000007</v>
      </c>
      <c r="AL11" s="5">
        <v>4.57</v>
      </c>
      <c r="AM11" s="36">
        <v>5.2999957762323103E-3</v>
      </c>
      <c r="AN11" s="36">
        <v>2.1424327876902699E-3</v>
      </c>
      <c r="AO11" s="36">
        <v>2.3205677607744399E-3</v>
      </c>
      <c r="AP11" s="36">
        <v>2.2489425389098602E-3</v>
      </c>
      <c r="AQ11" s="36">
        <v>2.1853815634048702E-3</v>
      </c>
      <c r="AR11" s="36">
        <v>1.98316232922048E-3</v>
      </c>
      <c r="AS11" s="36">
        <v>1.7719177395059799E-3</v>
      </c>
      <c r="AT11" s="36">
        <v>1.9358699467174501E-3</v>
      </c>
      <c r="AU11" s="36">
        <v>1.7233459177186899E-3</v>
      </c>
      <c r="AV11" s="36">
        <v>1.69768518554522E-3</v>
      </c>
      <c r="AW11" s="36">
        <v>1.6907820129148799E-3</v>
      </c>
      <c r="AX11" s="36">
        <v>1.8530324973087199E-3</v>
      </c>
      <c r="AY11" s="36">
        <v>1.7746866876845199E-3</v>
      </c>
      <c r="AZ11" s="36">
        <v>1.9312631078033701E-3</v>
      </c>
      <c r="BA11" s="36">
        <v>1.6082901613461999E-3</v>
      </c>
      <c r="BB11" s="36">
        <v>1.9262072567846501E-3</v>
      </c>
      <c r="BC11" s="36">
        <v>1.90658161068321E-3</v>
      </c>
      <c r="BD11" s="6">
        <v>5.8852000000000002</v>
      </c>
      <c r="BE11" s="6">
        <v>5.3421209999999997</v>
      </c>
      <c r="BF11" s="6">
        <v>5.7285529999999998</v>
      </c>
      <c r="BG11" s="6">
        <v>6.4720000000000004</v>
      </c>
      <c r="BH11" s="6">
        <v>6.4415380000000004</v>
      </c>
      <c r="BI11" s="6">
        <v>5.9764119999999998</v>
      </c>
      <c r="BJ11" s="6">
        <v>5.9178309999999996</v>
      </c>
      <c r="BK11" s="6">
        <v>6.277228</v>
      </c>
      <c r="BL11" s="6">
        <v>6.1606519999999998</v>
      </c>
      <c r="BM11" s="6">
        <v>6.2942629999999999</v>
      </c>
      <c r="BN11" s="6">
        <v>6.2446380000000001</v>
      </c>
      <c r="BO11" s="6">
        <v>5.8708619999999998</v>
      </c>
      <c r="BP11" s="6">
        <v>5.6762499999999996</v>
      </c>
      <c r="BQ11" s="6">
        <v>6.1854649999999998</v>
      </c>
      <c r="BR11" s="6">
        <v>6.375769</v>
      </c>
      <c r="BS11" s="6">
        <v>5.3097500000000002</v>
      </c>
      <c r="BT11" s="6">
        <v>5.2328720000000004</v>
      </c>
    </row>
    <row r="12" spans="1:72">
      <c r="A12" s="7" t="s">
        <v>283</v>
      </c>
      <c r="B12" s="1" t="s">
        <v>18</v>
      </c>
      <c r="C12" s="21">
        <v>0.50339526286926295</v>
      </c>
      <c r="D12" s="21">
        <v>3.0954528423223202E-2</v>
      </c>
      <c r="E12" s="10">
        <v>3.0361685526506901E-3</v>
      </c>
      <c r="F12" s="3">
        <v>3.9340086427095584E-3</v>
      </c>
      <c r="G12" s="3">
        <v>8.1181818181818208</v>
      </c>
      <c r="H12" s="1">
        <v>7.9751970954357603</v>
      </c>
      <c r="I12" s="3">
        <f t="shared" si="0"/>
        <v>0.14298472274606056</v>
      </c>
      <c r="J12">
        <v>2</v>
      </c>
      <c r="K12">
        <v>3</v>
      </c>
      <c r="L12" s="1">
        <v>0.11687067719423</v>
      </c>
      <c r="M12" s="4">
        <v>8.5564662069860091</v>
      </c>
      <c r="N12" s="21">
        <v>6.8437713509616804</v>
      </c>
      <c r="O12" s="21" t="s">
        <v>294</v>
      </c>
      <c r="P12" s="21">
        <v>0.50339526286926295</v>
      </c>
      <c r="Q12" s="21">
        <v>0</v>
      </c>
      <c r="R12" s="21">
        <v>0</v>
      </c>
      <c r="S12" s="21">
        <v>0</v>
      </c>
      <c r="T12">
        <v>1.8818181818181701</v>
      </c>
      <c r="U12" s="21">
        <f t="shared" si="1"/>
        <v>9.9999999999999911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9.5500000000000007</v>
      </c>
      <c r="AB12" s="5">
        <v>7.6</v>
      </c>
      <c r="AC12" s="5">
        <v>6.625</v>
      </c>
      <c r="AD12" s="5">
        <v>0</v>
      </c>
      <c r="AE12" s="5">
        <v>8.1999999999999993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9.5500000000000007</v>
      </c>
      <c r="AM12" s="36">
        <v>8.0152216160978406E-3</v>
      </c>
      <c r="AN12" s="36">
        <v>3.24001646717145E-3</v>
      </c>
      <c r="AO12" s="36">
        <v>3.5094112642862301E-3</v>
      </c>
      <c r="AP12" s="36">
        <v>3.4010919276706501E-3</v>
      </c>
      <c r="AQ12" s="36">
        <v>3.3049682086495002E-3</v>
      </c>
      <c r="AR12" s="36">
        <v>2.9991506107763101E-3</v>
      </c>
      <c r="AS12" s="36">
        <v>2.6796839030184699E-3</v>
      </c>
      <c r="AT12" s="36">
        <v>2.9276300016062001E-3</v>
      </c>
      <c r="AU12" s="36">
        <v>2.6062283886445401E-3</v>
      </c>
      <c r="AV12" s="36">
        <v>2.56742147937793E-3</v>
      </c>
      <c r="AW12" s="36">
        <v>2.5569817619097699E-3</v>
      </c>
      <c r="AX12" s="36">
        <v>2.8023543328781798E-3</v>
      </c>
      <c r="AY12" s="36">
        <v>2.6838714032036502E-3</v>
      </c>
      <c r="AZ12" s="36">
        <v>2.9206630460830302E-3</v>
      </c>
      <c r="BA12" s="36">
        <v>2.4322287432733498E-3</v>
      </c>
      <c r="BB12" s="36">
        <v>2.9130170463343699E-3</v>
      </c>
      <c r="BC12" s="36">
        <v>2.8833370410091602E-3</v>
      </c>
      <c r="BD12" s="6">
        <v>8.0991999999999997</v>
      </c>
      <c r="BE12" s="6">
        <v>8.6037210000000002</v>
      </c>
      <c r="BF12" s="6">
        <v>7.6308819999999997</v>
      </c>
      <c r="BG12" s="6">
        <v>8.2683999999999997</v>
      </c>
      <c r="BH12" s="6">
        <v>8.8938710000000007</v>
      </c>
      <c r="BI12" s="6">
        <v>8.2670209999999997</v>
      </c>
      <c r="BJ12" s="6">
        <v>7.8953980000000001</v>
      </c>
      <c r="BK12" s="6">
        <v>7.6974210000000003</v>
      </c>
      <c r="BL12" s="6">
        <v>7.8680649999999996</v>
      </c>
      <c r="BM12" s="6">
        <v>7.9184460000000003</v>
      </c>
      <c r="BN12" s="6">
        <v>7.9405950000000001</v>
      </c>
      <c r="BO12" s="6">
        <v>7.7715930000000002</v>
      </c>
      <c r="BP12" s="6">
        <v>7.6910420000000004</v>
      </c>
      <c r="BQ12" s="6">
        <v>8.0137929999999997</v>
      </c>
      <c r="BR12" s="6">
        <v>7.7645949999999999</v>
      </c>
      <c r="BS12" s="6">
        <v>8.0549999999999997</v>
      </c>
      <c r="BT12" s="6">
        <v>8.4177420000000005</v>
      </c>
    </row>
    <row r="13" spans="1:72">
      <c r="A13" s="7" t="s">
        <v>447</v>
      </c>
      <c r="B13" s="1" t="s">
        <v>19</v>
      </c>
      <c r="C13" s="21">
        <v>0.281530770164581</v>
      </c>
      <c r="D13" s="21">
        <v>3.8731051940657603E-2</v>
      </c>
      <c r="E13" s="10">
        <v>1.6980192982054821E-3</v>
      </c>
      <c r="F13" s="3">
        <v>1.2675353010053192E-3</v>
      </c>
      <c r="G13" s="9">
        <v>5.4024999999999999</v>
      </c>
      <c r="H13" s="1">
        <v>4.97628620102215</v>
      </c>
      <c r="I13" s="3">
        <f t="shared" si="0"/>
        <v>0.42621379897784983</v>
      </c>
      <c r="J13">
        <v>6</v>
      </c>
      <c r="K13">
        <v>4</v>
      </c>
      <c r="L13" s="1">
        <v>0.109358706047337</v>
      </c>
      <c r="M13" s="4">
        <v>9.1442193872259292</v>
      </c>
      <c r="N13" s="21">
        <v>6.1869599412893104</v>
      </c>
      <c r="O13" s="21" t="s">
        <v>294</v>
      </c>
      <c r="P13" s="21">
        <v>0.281530770164581</v>
      </c>
      <c r="Q13" s="21">
        <v>0</v>
      </c>
      <c r="R13" s="21">
        <v>0</v>
      </c>
      <c r="S13" s="21">
        <v>0</v>
      </c>
      <c r="T13">
        <v>0</v>
      </c>
      <c r="U13" s="21">
        <f t="shared" si="1"/>
        <v>5.4024999999999999</v>
      </c>
      <c r="V13" s="5">
        <v>0</v>
      </c>
      <c r="W13" s="5">
        <v>0</v>
      </c>
      <c r="X13" s="5">
        <v>3.61</v>
      </c>
      <c r="Y13" s="5">
        <v>0</v>
      </c>
      <c r="Z13" s="5">
        <v>0</v>
      </c>
      <c r="AA13" s="5">
        <v>2.8</v>
      </c>
      <c r="AB13" s="5">
        <v>0</v>
      </c>
      <c r="AC13" s="5">
        <v>2.8</v>
      </c>
      <c r="AD13" s="5">
        <v>6.1749999999999998</v>
      </c>
      <c r="AE13" s="5">
        <v>3.7</v>
      </c>
      <c r="AF13" s="5">
        <v>6.13</v>
      </c>
      <c r="AG13" s="5">
        <v>8.65</v>
      </c>
      <c r="AH13" s="5">
        <v>9.5500000000000007</v>
      </c>
      <c r="AI13" s="5">
        <v>0</v>
      </c>
      <c r="AJ13" s="5">
        <v>3.61</v>
      </c>
      <c r="AK13" s="5">
        <v>0</v>
      </c>
      <c r="AL13" s="5">
        <v>0</v>
      </c>
      <c r="AM13" s="36">
        <v>4.4826236579144502E-3</v>
      </c>
      <c r="AN13" s="36">
        <v>1.8120240666340999E-3</v>
      </c>
      <c r="AO13" s="36">
        <v>1.96268683663667E-3</v>
      </c>
      <c r="AP13" s="36">
        <v>1.90210774797524E-3</v>
      </c>
      <c r="AQ13" s="36">
        <v>1.84834922729933E-3</v>
      </c>
      <c r="AR13" s="36">
        <v>1.6773165017063599E-3</v>
      </c>
      <c r="AS13" s="36">
        <v>1.4986503224412499E-3</v>
      </c>
      <c r="AT13" s="36">
        <v>1.6373176108396999E-3</v>
      </c>
      <c r="AU13" s="36">
        <v>1.45756930905099E-3</v>
      </c>
      <c r="AV13" s="36">
        <v>1.4358660077698701E-3</v>
      </c>
      <c r="AW13" s="36">
        <v>1.4300274512400401E-3</v>
      </c>
      <c r="AX13" s="36">
        <v>1.5672554586874199E-3</v>
      </c>
      <c r="AY13" s="36">
        <v>1.5009922398949E-3</v>
      </c>
      <c r="AZ13" s="36">
        <v>1.63342124450729E-3</v>
      </c>
      <c r="BA13" s="36">
        <v>1.3602575983874801E-3</v>
      </c>
      <c r="BB13" s="36">
        <v>1.62914511329054E-3</v>
      </c>
      <c r="BC13" s="36">
        <v>1.6125461593987801E-3</v>
      </c>
      <c r="BD13" s="6">
        <v>3.933182</v>
      </c>
      <c r="BE13" s="6">
        <v>4.7644000000000002</v>
      </c>
      <c r="BF13" s="6">
        <v>5.7647830000000004</v>
      </c>
      <c r="BG13" s="6">
        <v>4.0599999999999996</v>
      </c>
      <c r="BH13" s="6">
        <v>5.1261539999999997</v>
      </c>
      <c r="BI13" s="6">
        <v>4.3334619999999999</v>
      </c>
      <c r="BJ13" s="6">
        <v>4.3899999999999997</v>
      </c>
      <c r="BK13" s="6">
        <v>5.0715630000000003</v>
      </c>
      <c r="BL13" s="6">
        <v>4.8938240000000004</v>
      </c>
      <c r="BM13" s="6">
        <v>4.9516349999999996</v>
      </c>
      <c r="BN13" s="6">
        <v>4.8033039999999998</v>
      </c>
      <c r="BO13" s="6">
        <v>5.3052729999999997</v>
      </c>
      <c r="BP13" s="6">
        <v>5.6459460000000004</v>
      </c>
      <c r="BQ13" s="6">
        <v>4.8564999999999996</v>
      </c>
      <c r="BR13" s="6">
        <v>5.0949999999999998</v>
      </c>
      <c r="BS13" s="6">
        <v>5.4033329999999999</v>
      </c>
      <c r="BT13" s="6">
        <v>5.23</v>
      </c>
    </row>
    <row r="14" spans="1:72">
      <c r="A14" s="7" t="s">
        <v>285</v>
      </c>
      <c r="B14" s="1" t="s">
        <v>20</v>
      </c>
      <c r="C14" s="21">
        <v>0.25403886885009902</v>
      </c>
      <c r="D14" s="21">
        <v>2.0790336252925E-2</v>
      </c>
      <c r="E14" s="10">
        <v>2.0961388370331069E-3</v>
      </c>
      <c r="F14" s="3">
        <v>3.2793253474922425E-3</v>
      </c>
      <c r="G14" s="3">
        <v>6.2402040816326503</v>
      </c>
      <c r="H14" s="4">
        <v>6.44041210374637</v>
      </c>
      <c r="I14" s="3">
        <f t="shared" si="0"/>
        <v>-0.20020802211371969</v>
      </c>
      <c r="J14">
        <v>3</v>
      </c>
      <c r="K14">
        <v>2</v>
      </c>
      <c r="L14" s="1">
        <v>0.13917260208943399</v>
      </c>
      <c r="M14" s="4">
        <v>7.1853222903556002</v>
      </c>
      <c r="N14" s="21">
        <v>6.8470142381221599</v>
      </c>
      <c r="O14" s="21" t="s">
        <v>294</v>
      </c>
      <c r="P14" s="21">
        <v>0.25403886885009902</v>
      </c>
      <c r="Q14" s="21">
        <v>0</v>
      </c>
      <c r="R14" s="21">
        <v>0</v>
      </c>
      <c r="S14" s="21">
        <v>0</v>
      </c>
      <c r="T14">
        <v>0</v>
      </c>
      <c r="U14" s="21">
        <f t="shared" si="1"/>
        <v>6.2402040816326503</v>
      </c>
      <c r="V14" s="5">
        <v>4.24</v>
      </c>
      <c r="W14" s="5">
        <v>5.05</v>
      </c>
      <c r="X14" s="5">
        <v>4.375</v>
      </c>
      <c r="Y14" s="5">
        <v>4.5999999999999996</v>
      </c>
      <c r="Z14" s="5">
        <v>3.7</v>
      </c>
      <c r="AA14" s="5">
        <v>4.375</v>
      </c>
      <c r="AB14" s="5">
        <v>5.95</v>
      </c>
      <c r="AC14" s="5">
        <v>5.5</v>
      </c>
      <c r="AD14" s="5">
        <v>0</v>
      </c>
      <c r="AE14" s="5">
        <v>5.6124999999999998</v>
      </c>
      <c r="AF14" s="5">
        <v>0</v>
      </c>
      <c r="AG14" s="5">
        <v>6.85</v>
      </c>
      <c r="AH14" s="5">
        <v>5.4249999999999998</v>
      </c>
      <c r="AI14" s="5">
        <v>8.56</v>
      </c>
      <c r="AJ14" s="5">
        <v>8.7624999999999993</v>
      </c>
      <c r="AK14" s="5">
        <v>2.8</v>
      </c>
      <c r="AL14" s="5">
        <v>7.75</v>
      </c>
      <c r="AM14" s="36">
        <v>5.9245760384136698E-3</v>
      </c>
      <c r="AN14" s="36">
        <v>2.3949086930942602E-3</v>
      </c>
      <c r="AO14" s="36">
        <v>2.5940360580387202E-3</v>
      </c>
      <c r="AP14" s="36">
        <v>2.5139701313623402E-3</v>
      </c>
      <c r="AQ14" s="36">
        <v>2.4429187855964001E-3</v>
      </c>
      <c r="AR14" s="36">
        <v>2.21686893953278E-3</v>
      </c>
      <c r="AS14" s="36">
        <v>1.9807301410681602E-3</v>
      </c>
      <c r="AT14" s="36">
        <v>2.1640033660480801E-3</v>
      </c>
      <c r="AU14" s="36">
        <v>1.9264343522311901E-3</v>
      </c>
      <c r="AV14" s="36">
        <v>1.89774962013294E-3</v>
      </c>
      <c r="AW14" s="36">
        <v>1.89003294018046E-3</v>
      </c>
      <c r="AX14" s="36">
        <v>2.0714039020916998E-3</v>
      </c>
      <c r="AY14" s="36">
        <v>1.9838253971254799E-3</v>
      </c>
      <c r="AZ14" s="36">
        <v>2.1588536322378099E-3</v>
      </c>
      <c r="BA14" s="36">
        <v>1.79781980118894E-3</v>
      </c>
      <c r="BB14" s="36">
        <v>2.1532019722999601E-3</v>
      </c>
      <c r="BC14" s="36">
        <v>2.1312635335652701E-3</v>
      </c>
      <c r="BD14" s="6">
        <v>6.2527270000000001</v>
      </c>
      <c r="BE14" s="6">
        <v>6.7459519999999999</v>
      </c>
      <c r="BF14" s="6">
        <v>5.9355659999999997</v>
      </c>
      <c r="BG14" s="6">
        <v>6.3344440000000004</v>
      </c>
      <c r="BH14" s="6">
        <v>5.6643020000000002</v>
      </c>
      <c r="BI14" s="6">
        <v>6.3787750000000001</v>
      </c>
      <c r="BJ14" s="6">
        <v>5.977474</v>
      </c>
      <c r="BK14" s="6">
        <v>6.1041879999999997</v>
      </c>
      <c r="BL14" s="6">
        <v>6.1167930000000004</v>
      </c>
      <c r="BM14" s="6">
        <v>6.3907970000000001</v>
      </c>
      <c r="BN14" s="6">
        <v>6.3157480000000001</v>
      </c>
      <c r="BO14" s="6">
        <v>6.4666230000000002</v>
      </c>
      <c r="BP14" s="6">
        <v>6.6013729999999997</v>
      </c>
      <c r="BQ14" s="6">
        <v>7.278416</v>
      </c>
      <c r="BR14" s="6">
        <v>7.0330000000000004</v>
      </c>
      <c r="BS14" s="6">
        <v>6.4413109999999998</v>
      </c>
      <c r="BT14" s="6">
        <v>6.6963369999999998</v>
      </c>
    </row>
    <row r="15" spans="1:72">
      <c r="A15" s="7" t="s">
        <v>286</v>
      </c>
      <c r="B15" s="1" t="s">
        <v>21</v>
      </c>
      <c r="C15" s="21">
        <v>0.31630942465490702</v>
      </c>
      <c r="D15" s="21">
        <v>2.0957545061041201E-2</v>
      </c>
      <c r="E15" s="10">
        <v>2.3137532556596111E-3</v>
      </c>
      <c r="F15" s="3">
        <v>4.7936860992485826E-3</v>
      </c>
      <c r="G15" s="3">
        <v>6.7902857142857203</v>
      </c>
      <c r="H15" s="1">
        <v>7.2577569331157399</v>
      </c>
      <c r="I15" s="3">
        <f t="shared" si="0"/>
        <v>-0.46747121883001963</v>
      </c>
      <c r="J15">
        <v>3</v>
      </c>
      <c r="K15">
        <v>2</v>
      </c>
      <c r="L15" s="1">
        <v>8.5610572258252096E-2</v>
      </c>
      <c r="M15" s="4">
        <v>11.6808003219907</v>
      </c>
      <c r="N15" s="21">
        <v>7.0698125479665199</v>
      </c>
      <c r="O15" s="21" t="s">
        <v>294</v>
      </c>
      <c r="P15" s="21">
        <v>0.31630942465490702</v>
      </c>
      <c r="Q15" s="21">
        <v>0</v>
      </c>
      <c r="R15" s="21">
        <v>0</v>
      </c>
      <c r="S15" s="21">
        <v>0</v>
      </c>
      <c r="T15">
        <v>0</v>
      </c>
      <c r="U15" s="21">
        <f t="shared" si="1"/>
        <v>6.7902857142857203</v>
      </c>
      <c r="V15" s="5">
        <v>2.8</v>
      </c>
      <c r="W15" s="5">
        <v>6.625</v>
      </c>
      <c r="X15" s="5">
        <v>3.25</v>
      </c>
      <c r="Y15" s="5">
        <v>0</v>
      </c>
      <c r="Z15" s="5">
        <v>2.8</v>
      </c>
      <c r="AA15" s="5">
        <v>0</v>
      </c>
      <c r="AB15" s="5">
        <v>9.5500000000000007</v>
      </c>
      <c r="AC15" s="5">
        <v>8</v>
      </c>
      <c r="AD15" s="5">
        <v>0</v>
      </c>
      <c r="AE15" s="5">
        <v>0</v>
      </c>
      <c r="AF15" s="5">
        <v>0</v>
      </c>
      <c r="AG15" s="5">
        <v>7.3</v>
      </c>
      <c r="AH15" s="5">
        <v>9.5500000000000007</v>
      </c>
      <c r="AI15" s="5">
        <v>8.02</v>
      </c>
      <c r="AJ15" s="5">
        <v>7.3</v>
      </c>
      <c r="AK15" s="5">
        <v>5.6124999999999998</v>
      </c>
      <c r="AL15" s="5">
        <v>8.65</v>
      </c>
      <c r="AM15" s="36">
        <v>5.8092443559631304E-3</v>
      </c>
      <c r="AN15" s="36">
        <v>2.3482878299136501E-3</v>
      </c>
      <c r="AO15" s="36">
        <v>2.5435388509860699E-3</v>
      </c>
      <c r="AP15" s="36">
        <v>2.46503154014492E-3</v>
      </c>
      <c r="AQ15" s="36">
        <v>2.39536332647054E-3</v>
      </c>
      <c r="AR15" s="36">
        <v>2.17371391495196E-3</v>
      </c>
      <c r="AS15" s="36">
        <v>1.9421719491960799E-3</v>
      </c>
      <c r="AT15" s="36">
        <v>2.1218774573895198E-3</v>
      </c>
      <c r="AU15" s="36">
        <v>1.8889331177913301E-3</v>
      </c>
      <c r="AV15" s="36">
        <v>1.8608067814993099E-3</v>
      </c>
      <c r="AW15" s="36">
        <v>1.85324031949931E-3</v>
      </c>
      <c r="AX15" s="36">
        <v>2.0310805953244501E-3</v>
      </c>
      <c r="AY15" s="36">
        <v>1.9452069509691501E-3</v>
      </c>
      <c r="AZ15" s="36">
        <v>2.1168279716747402E-3</v>
      </c>
      <c r="BA15" s="36">
        <v>1.762822261944E-3</v>
      </c>
      <c r="BB15" s="36">
        <v>2.1112863306555602E-3</v>
      </c>
      <c r="BC15" s="36">
        <v>2.0897749599563201E-3</v>
      </c>
      <c r="BD15" s="6">
        <v>7.456029</v>
      </c>
      <c r="BE15" s="6">
        <v>7.583933</v>
      </c>
      <c r="BF15" s="6">
        <v>7.667376</v>
      </c>
      <c r="BG15" s="6">
        <v>7.8628359999999997</v>
      </c>
      <c r="BH15" s="6">
        <v>7.2306980000000003</v>
      </c>
      <c r="BI15" s="6">
        <v>7.2229609999999997</v>
      </c>
      <c r="BJ15" s="6">
        <v>7.0047079999999999</v>
      </c>
      <c r="BK15" s="6">
        <v>7.085877</v>
      </c>
      <c r="BL15" s="6">
        <v>6.8532640000000002</v>
      </c>
      <c r="BM15" s="6">
        <v>6.7524100000000002</v>
      </c>
      <c r="BN15" s="6">
        <v>7.208507</v>
      </c>
      <c r="BO15" s="6">
        <v>7.2172609999999997</v>
      </c>
      <c r="BP15" s="6">
        <v>7.464709</v>
      </c>
      <c r="BQ15" s="6">
        <v>7.7880950000000002</v>
      </c>
      <c r="BR15" s="6">
        <v>7.29</v>
      </c>
      <c r="BS15" s="6">
        <v>7.1728769999999997</v>
      </c>
      <c r="BT15" s="6">
        <v>7.30931</v>
      </c>
    </row>
    <row r="16" spans="1:72">
      <c r="A16" s="7" t="s">
        <v>467</v>
      </c>
      <c r="B16" s="1" t="s">
        <v>22</v>
      </c>
      <c r="C16" s="21">
        <v>0.232355114482899</v>
      </c>
      <c r="D16" s="21">
        <v>1.5371026362148E-2</v>
      </c>
      <c r="E16" s="10">
        <v>1.4014221898304719E-3</v>
      </c>
      <c r="F16" s="3">
        <v>5.7350043829007746E-3</v>
      </c>
      <c r="G16" s="3">
        <v>7.7134615384615399</v>
      </c>
      <c r="H16" s="1">
        <v>7.3731113387976404</v>
      </c>
      <c r="I16" s="3">
        <f t="shared" si="0"/>
        <v>0.34035019966389957</v>
      </c>
      <c r="J16">
        <v>6</v>
      </c>
      <c r="K16">
        <v>4</v>
      </c>
      <c r="L16" s="1">
        <v>5.9158804574979303E-2</v>
      </c>
      <c r="M16" s="4">
        <v>16.903654615477802</v>
      </c>
      <c r="N16" s="21">
        <v>6.46779507331137</v>
      </c>
      <c r="O16" s="21" t="s">
        <v>273</v>
      </c>
      <c r="P16" s="21">
        <v>30.290602336736601</v>
      </c>
      <c r="Q16" s="21">
        <v>7.7960941043449302E-3</v>
      </c>
      <c r="R16" s="21">
        <v>0</v>
      </c>
      <c r="S16" s="21">
        <v>9.3829532582266808E-3</v>
      </c>
      <c r="T16">
        <v>0</v>
      </c>
      <c r="U16" s="21">
        <f t="shared" si="1"/>
        <v>7.7134615384615399</v>
      </c>
      <c r="V16" s="5">
        <v>0</v>
      </c>
      <c r="W16" s="5">
        <v>2.8</v>
      </c>
      <c r="X16" s="5">
        <v>6.58</v>
      </c>
      <c r="Y16" s="5">
        <v>0</v>
      </c>
      <c r="Z16" s="5">
        <v>0</v>
      </c>
      <c r="AA16" s="5">
        <v>0</v>
      </c>
      <c r="AB16" s="5">
        <v>7.6085710000000004</v>
      </c>
      <c r="AC16" s="5">
        <v>7.0750000000000002</v>
      </c>
      <c r="AD16" s="5">
        <v>5.3875000000000002</v>
      </c>
      <c r="AE16" s="5">
        <v>9.5500000000000007</v>
      </c>
      <c r="AF16" s="5">
        <v>8.5374999999999996</v>
      </c>
      <c r="AG16" s="5">
        <v>2.8</v>
      </c>
      <c r="AH16" s="5">
        <v>9.5500000000000007</v>
      </c>
      <c r="AI16" s="5">
        <v>8.0542859999999994</v>
      </c>
      <c r="AJ16" s="5">
        <v>9.4</v>
      </c>
      <c r="AK16" s="5">
        <v>9.5500000000000007</v>
      </c>
      <c r="AL16" s="5">
        <v>9.1449999999999996</v>
      </c>
      <c r="AM16" s="36">
        <v>3.69963301918854E-3</v>
      </c>
      <c r="AN16" s="36">
        <v>1.49551347159105E-3</v>
      </c>
      <c r="AO16" s="36">
        <v>1.61985961376155E-3</v>
      </c>
      <c r="AP16" s="36">
        <v>1.5698620199888901E-3</v>
      </c>
      <c r="AQ16" s="36">
        <v>1.5254936292130601E-3</v>
      </c>
      <c r="AR16" s="36">
        <v>1.3843356005107401E-3</v>
      </c>
      <c r="AS16" s="36">
        <v>1.23687747181988E-3</v>
      </c>
      <c r="AT16" s="36">
        <v>1.3513234119635401E-3</v>
      </c>
      <c r="AU16" s="36">
        <v>1.2029721776888401E-3</v>
      </c>
      <c r="AV16" s="36">
        <v>1.1850598441599601E-3</v>
      </c>
      <c r="AW16" s="36">
        <v>1.1802411223196801E-3</v>
      </c>
      <c r="AX16" s="36">
        <v>1.29349918417223E-3</v>
      </c>
      <c r="AY16" s="36">
        <v>1.23881032092811E-3</v>
      </c>
      <c r="AZ16" s="36">
        <v>1.3481076332950001E-3</v>
      </c>
      <c r="BA16" s="36">
        <v>1.1226581372074801E-3</v>
      </c>
      <c r="BB16" s="36">
        <v>1.3445784241864101E-3</v>
      </c>
      <c r="BC16" s="36">
        <v>1.3308788494310101E-3</v>
      </c>
      <c r="BD16" s="6">
        <v>7.2374999999999998</v>
      </c>
      <c r="BE16" s="6">
        <v>6.8426729999999996</v>
      </c>
      <c r="BF16" s="6">
        <v>7.4708269999999999</v>
      </c>
      <c r="BG16" s="6">
        <v>7.2078259999999998</v>
      </c>
      <c r="BH16" s="6">
        <v>7.4502379999999997</v>
      </c>
      <c r="BI16" s="6">
        <v>7.4127010000000002</v>
      </c>
      <c r="BJ16" s="6">
        <v>7.3741450000000004</v>
      </c>
      <c r="BK16" s="6">
        <v>7.2411089999999998</v>
      </c>
      <c r="BL16" s="6">
        <v>7.0062280000000001</v>
      </c>
      <c r="BM16" s="6">
        <v>7.2277800000000001</v>
      </c>
      <c r="BN16" s="6">
        <v>7.3139979999999998</v>
      </c>
      <c r="BO16" s="6">
        <v>7.4116059999999999</v>
      </c>
      <c r="BP16" s="6">
        <v>7.4991029999999999</v>
      </c>
      <c r="BQ16" s="6">
        <v>7.7252169999999998</v>
      </c>
      <c r="BR16" s="6">
        <v>7.829091</v>
      </c>
      <c r="BS16" s="6">
        <v>7.275156</v>
      </c>
      <c r="BT16" s="6">
        <v>7.7226150000000002</v>
      </c>
    </row>
    <row r="17" spans="1:72">
      <c r="A17" s="7" t="s">
        <v>288</v>
      </c>
      <c r="B17" s="1" t="s">
        <v>23</v>
      </c>
      <c r="C17" s="21">
        <v>0.32839042377465999</v>
      </c>
      <c r="D17" s="21">
        <v>1.2697273237508799E-2</v>
      </c>
      <c r="E17" s="10">
        <v>1.9806477160179401E-3</v>
      </c>
      <c r="F17" s="3">
        <v>1.1200738572706261E-2</v>
      </c>
      <c r="G17" s="3">
        <v>5.9517187500000004</v>
      </c>
      <c r="H17" s="1">
        <v>5.7669567395264396</v>
      </c>
      <c r="I17" s="3">
        <f t="shared" si="0"/>
        <v>0.18476201047356078</v>
      </c>
      <c r="J17">
        <v>5</v>
      </c>
      <c r="K17">
        <v>3</v>
      </c>
      <c r="L17" s="1">
        <v>5.0337650916386499E-2</v>
      </c>
      <c r="M17" s="4">
        <v>19.865845580697702</v>
      </c>
      <c r="N17" s="21">
        <v>6.8355263505712403</v>
      </c>
      <c r="O17" s="21" t="s">
        <v>294</v>
      </c>
      <c r="P17" s="21">
        <v>0.32839042377465999</v>
      </c>
      <c r="Q17" s="21">
        <v>0</v>
      </c>
      <c r="R17" s="21">
        <v>0</v>
      </c>
      <c r="S17" s="21">
        <v>0</v>
      </c>
      <c r="T17">
        <v>0</v>
      </c>
      <c r="U17" s="21">
        <f t="shared" si="1"/>
        <v>5.9517187500000004</v>
      </c>
      <c r="V17" s="5">
        <v>6.22</v>
      </c>
      <c r="W17" s="5">
        <v>5.86</v>
      </c>
      <c r="X17" s="5">
        <v>5.6619999999999999</v>
      </c>
      <c r="Y17" s="5">
        <v>5.5</v>
      </c>
      <c r="Z17" s="5">
        <v>6.5620000000000003</v>
      </c>
      <c r="AA17" s="5">
        <v>4.8357140000000003</v>
      </c>
      <c r="AB17" s="5">
        <v>6.0108819999999996</v>
      </c>
      <c r="AC17" s="5">
        <v>6.2859999999999996</v>
      </c>
      <c r="AD17" s="5">
        <v>5.9382140000000003</v>
      </c>
      <c r="AE17" s="5">
        <v>6.4187500000000002</v>
      </c>
      <c r="AF17" s="5">
        <v>5.68</v>
      </c>
      <c r="AG17" s="5">
        <v>6.3771430000000002</v>
      </c>
      <c r="AH17" s="5">
        <v>6.0812499999999998</v>
      </c>
      <c r="AI17" s="5">
        <v>6.5896429999999997</v>
      </c>
      <c r="AJ17" s="5">
        <v>5.77</v>
      </c>
      <c r="AK17" s="5">
        <v>4.4612499999999997</v>
      </c>
      <c r="AL17" s="5">
        <v>5.8085709999999997</v>
      </c>
      <c r="AM17" s="36">
        <v>5.2287381652253899E-3</v>
      </c>
      <c r="AN17" s="36">
        <v>2.1136281152642502E-3</v>
      </c>
      <c r="AO17" s="36">
        <v>2.28936809160603E-3</v>
      </c>
      <c r="AP17" s="36">
        <v>2.21870585960283E-3</v>
      </c>
      <c r="AQ17" s="36">
        <v>2.1559994514331699E-3</v>
      </c>
      <c r="AR17" s="36">
        <v>1.9564990230999599E-3</v>
      </c>
      <c r="AS17" s="36">
        <v>1.7480945837245799E-3</v>
      </c>
      <c r="AT17" s="36">
        <v>1.9098424792538299E-3</v>
      </c>
      <c r="AU17" s="36">
        <v>1.70017580245447E-3</v>
      </c>
      <c r="AV17" s="36">
        <v>1.6748600747958299E-3</v>
      </c>
      <c r="AW17" s="36">
        <v>1.6680497142375799E-3</v>
      </c>
      <c r="AX17" s="36">
        <v>1.8281187663452901E-3</v>
      </c>
      <c r="AY17" s="36">
        <v>1.7508263038296301E-3</v>
      </c>
      <c r="AZ17" s="36">
        <v>1.90529757856559E-3</v>
      </c>
      <c r="BA17" s="36">
        <v>1.5866669526603801E-3</v>
      </c>
      <c r="BB17" s="36">
        <v>1.90030970266995E-3</v>
      </c>
      <c r="BC17" s="36">
        <v>1.88094792029873E-3</v>
      </c>
      <c r="BD17" s="6">
        <v>5.567107</v>
      </c>
      <c r="BE17" s="6">
        <v>5.8722479999999999</v>
      </c>
      <c r="BF17" s="6">
        <v>5.795147</v>
      </c>
      <c r="BG17" s="6">
        <v>5.9040569999999999</v>
      </c>
      <c r="BH17" s="6">
        <v>5.8531899999999997</v>
      </c>
      <c r="BI17" s="6">
        <v>5.5742560000000001</v>
      </c>
      <c r="BJ17" s="6">
        <v>5.8024620000000002</v>
      </c>
      <c r="BK17" s="6">
        <v>5.7197849999999999</v>
      </c>
      <c r="BL17" s="6">
        <v>5.5872339999999996</v>
      </c>
      <c r="BM17" s="6">
        <v>5.6476569999999997</v>
      </c>
      <c r="BN17" s="6">
        <v>5.6552129999999998</v>
      </c>
      <c r="BO17" s="6">
        <v>5.85555</v>
      </c>
      <c r="BP17" s="6">
        <v>5.6995300000000002</v>
      </c>
      <c r="BQ17" s="6">
        <v>5.7310280000000002</v>
      </c>
      <c r="BR17" s="6">
        <v>5.9931939999999999</v>
      </c>
      <c r="BS17" s="6">
        <v>5.838908</v>
      </c>
      <c r="BT17" s="6">
        <v>6.0563950000000002</v>
      </c>
    </row>
    <row r="18" spans="1:72">
      <c r="A18" s="7" t="s">
        <v>289</v>
      </c>
      <c r="B18" s="1" t="s">
        <v>24</v>
      </c>
      <c r="C18" s="21">
        <v>0.26626663844360898</v>
      </c>
      <c r="D18" s="21">
        <v>2.8049033940277999E-2</v>
      </c>
      <c r="E18" s="10">
        <v>1.6059555063243709E-3</v>
      </c>
      <c r="F18" s="3">
        <v>2.1326255268335776E-3</v>
      </c>
      <c r="G18" s="3">
        <v>6.24117647058823</v>
      </c>
      <c r="H18" s="1">
        <v>6.4794057377049397</v>
      </c>
      <c r="I18" s="3">
        <f t="shared" si="0"/>
        <v>-0.23822926711670966</v>
      </c>
      <c r="J18">
        <v>7</v>
      </c>
      <c r="K18">
        <v>4</v>
      </c>
      <c r="L18" s="1">
        <v>8.8590399649461304E-2</v>
      </c>
      <c r="M18" s="4">
        <v>11.287904828930101</v>
      </c>
      <c r="N18" s="21">
        <v>5.95</v>
      </c>
      <c r="O18" s="21" t="s">
        <v>294</v>
      </c>
      <c r="P18" s="21">
        <v>0.26626663844360898</v>
      </c>
      <c r="Q18" s="21">
        <v>0</v>
      </c>
      <c r="R18" s="21">
        <v>0</v>
      </c>
      <c r="S18" s="21">
        <v>0</v>
      </c>
      <c r="T18">
        <v>0</v>
      </c>
      <c r="U18" s="21">
        <f t="shared" si="1"/>
        <v>6.24117647058823</v>
      </c>
      <c r="V18" s="5">
        <v>7.75</v>
      </c>
      <c r="W18" s="5">
        <v>0</v>
      </c>
      <c r="X18" s="5">
        <v>6.625</v>
      </c>
      <c r="Y18" s="5">
        <v>0</v>
      </c>
      <c r="Z18" s="5">
        <v>0</v>
      </c>
      <c r="AA18" s="5">
        <v>2.8</v>
      </c>
      <c r="AB18" s="5">
        <v>5.5</v>
      </c>
      <c r="AC18" s="5">
        <v>0</v>
      </c>
      <c r="AD18" s="5">
        <v>2.8</v>
      </c>
      <c r="AE18" s="5">
        <v>5.5</v>
      </c>
      <c r="AF18" s="5">
        <v>8.65</v>
      </c>
      <c r="AG18" s="5">
        <v>2.8</v>
      </c>
      <c r="AH18" s="5">
        <v>5.5</v>
      </c>
      <c r="AI18" s="5">
        <v>9.5500000000000007</v>
      </c>
      <c r="AJ18" s="5">
        <v>0</v>
      </c>
      <c r="AK18" s="5">
        <v>5.05</v>
      </c>
      <c r="AL18" s="5">
        <v>9.5500000000000007</v>
      </c>
      <c r="AM18" s="36">
        <v>4.2395832331326303E-3</v>
      </c>
      <c r="AN18" s="36">
        <v>1.7137791251717301E-3</v>
      </c>
      <c r="AO18" s="36">
        <v>1.85627320950835E-3</v>
      </c>
      <c r="AP18" s="36">
        <v>1.7989786186242899E-3</v>
      </c>
      <c r="AQ18" s="36">
        <v>1.74813479583467E-3</v>
      </c>
      <c r="AR18" s="36">
        <v>1.5863751811365399E-3</v>
      </c>
      <c r="AS18" s="36">
        <v>1.4173959859719301E-3</v>
      </c>
      <c r="AT18" s="36">
        <v>1.5485449638345001E-3</v>
      </c>
      <c r="AU18" s="36">
        <v>1.3785423170358899E-3</v>
      </c>
      <c r="AV18" s="36">
        <v>1.35801573277701E-3</v>
      </c>
      <c r="AW18" s="36">
        <v>1.3524937331048099E-3</v>
      </c>
      <c r="AX18" s="36">
        <v>1.4822814654438701E-3</v>
      </c>
      <c r="AY18" s="36">
        <v>1.4196109285429699E-3</v>
      </c>
      <c r="AZ18" s="36">
        <v>1.5448598520263999E-3</v>
      </c>
      <c r="BA18" s="36">
        <v>1.2865066860303601E-3</v>
      </c>
      <c r="BB18" s="36">
        <v>1.5408155655565301E-3</v>
      </c>
      <c r="BC18" s="36">
        <v>1.5251165794320099E-3</v>
      </c>
      <c r="BD18" s="6">
        <v>6.4264710000000003</v>
      </c>
      <c r="BE18" s="6">
        <v>7.1554549999999999</v>
      </c>
      <c r="BF18" s="6">
        <v>6.5247729999999997</v>
      </c>
      <c r="BG18" s="6">
        <v>6.3375000000000004</v>
      </c>
      <c r="BH18" s="6">
        <v>7.0179999999999998</v>
      </c>
      <c r="BI18" s="6">
        <v>6.09</v>
      </c>
      <c r="BJ18" s="6">
        <v>5.9162499999999998</v>
      </c>
      <c r="BK18" s="6">
        <v>6.4740770000000003</v>
      </c>
      <c r="BL18" s="6">
        <v>6.4617649999999998</v>
      </c>
      <c r="BM18" s="6">
        <v>6.7493220000000003</v>
      </c>
      <c r="BN18" s="6">
        <v>6.2414620000000003</v>
      </c>
      <c r="BO18" s="6">
        <v>6.7179219999999997</v>
      </c>
      <c r="BP18" s="6">
        <v>6.3912899999999997</v>
      </c>
      <c r="BQ18" s="6">
        <v>6.9625000000000004</v>
      </c>
      <c r="BR18" s="6">
        <v>6.0737500000000004</v>
      </c>
      <c r="BS18" s="6">
        <v>6.5823080000000003</v>
      </c>
      <c r="BT18" s="6">
        <v>6.3691180000000003</v>
      </c>
    </row>
    <row r="19" spans="1:72">
      <c r="A19" s="7" t="s">
        <v>290</v>
      </c>
      <c r="B19" s="1" t="s">
        <v>25</v>
      </c>
      <c r="C19" s="21">
        <v>0.34730101245488598</v>
      </c>
      <c r="D19" s="21">
        <v>1.65575872279006E-2</v>
      </c>
      <c r="E19" s="10">
        <v>2.0947046786038712E-3</v>
      </c>
      <c r="F19" s="3">
        <v>4.3019036871591457E-3</v>
      </c>
      <c r="G19" s="3">
        <v>6.5191666666666697</v>
      </c>
      <c r="H19" s="1">
        <v>6.3905599903240997</v>
      </c>
      <c r="I19" s="3">
        <f t="shared" si="0"/>
        <v>0.12860667634256995</v>
      </c>
      <c r="J19">
        <v>6</v>
      </c>
      <c r="K19">
        <v>4</v>
      </c>
      <c r="L19" s="1">
        <v>5.65794137995504E-2</v>
      </c>
      <c r="M19" s="4">
        <v>17.6742728997299</v>
      </c>
      <c r="N19" s="21">
        <v>6.7745225632295298</v>
      </c>
      <c r="O19" s="21" t="s">
        <v>294</v>
      </c>
      <c r="P19" s="21">
        <v>0.34730101245488598</v>
      </c>
      <c r="Q19" s="21">
        <v>0</v>
      </c>
      <c r="R19" s="21">
        <v>0</v>
      </c>
      <c r="S19" s="21">
        <v>0</v>
      </c>
      <c r="T19">
        <v>0</v>
      </c>
      <c r="U19" s="21">
        <f t="shared" si="1"/>
        <v>6.5191666666666697</v>
      </c>
      <c r="V19" s="5">
        <v>5.7249999999999996</v>
      </c>
      <c r="W19" s="5">
        <v>5.0925000000000002</v>
      </c>
      <c r="X19" s="5">
        <v>6.7374999999999998</v>
      </c>
      <c r="Y19" s="5">
        <v>8.0649999999999995</v>
      </c>
      <c r="Z19" s="5">
        <v>5.05</v>
      </c>
      <c r="AA19" s="5">
        <v>9.1</v>
      </c>
      <c r="AB19" s="5">
        <v>5.7249999999999996</v>
      </c>
      <c r="AC19" s="5">
        <v>5.2750000000000004</v>
      </c>
      <c r="AD19" s="5">
        <v>7.09</v>
      </c>
      <c r="AE19" s="5">
        <v>3.6549999999999998</v>
      </c>
      <c r="AF19" s="5">
        <v>5.86</v>
      </c>
      <c r="AG19" s="5">
        <v>5.58</v>
      </c>
      <c r="AH19" s="5">
        <v>6.04</v>
      </c>
      <c r="AI19" s="5">
        <v>7.585</v>
      </c>
      <c r="AJ19" s="5">
        <v>7.5250000000000004</v>
      </c>
      <c r="AK19" s="5">
        <v>8.5374999999999996</v>
      </c>
      <c r="AL19" s="5">
        <v>7.6937499999999996</v>
      </c>
      <c r="AM19" s="36">
        <v>5.5298386529394504E-3</v>
      </c>
      <c r="AN19" s="36">
        <v>2.2353428457100701E-3</v>
      </c>
      <c r="AO19" s="36">
        <v>2.4212029296027098E-3</v>
      </c>
      <c r="AP19" s="36">
        <v>2.3464715643121302E-3</v>
      </c>
      <c r="AQ19" s="36">
        <v>2.2801541644488599E-3</v>
      </c>
      <c r="AR19" s="36">
        <v>2.0691653665756001E-3</v>
      </c>
      <c r="AS19" s="36">
        <v>1.8487598140530699E-3</v>
      </c>
      <c r="AT19" s="36">
        <v>2.0198220735247502E-3</v>
      </c>
      <c r="AU19" s="36">
        <v>1.7980815967670099E-3</v>
      </c>
      <c r="AV19" s="36">
        <v>1.77130804549893E-3</v>
      </c>
      <c r="AW19" s="36">
        <v>1.7641055056383699E-3</v>
      </c>
      <c r="AX19" s="36">
        <v>1.9333922443340399E-3</v>
      </c>
      <c r="AY19" s="36">
        <v>1.85164884214141E-3</v>
      </c>
      <c r="AZ19" s="36">
        <v>2.01501545160079E-3</v>
      </c>
      <c r="BA19" s="36">
        <v>1.67803626169619E-3</v>
      </c>
      <c r="BB19" s="36">
        <v>2.0097403454370898E-3</v>
      </c>
      <c r="BC19" s="36">
        <v>1.98926360149564E-3</v>
      </c>
      <c r="BD19" s="6">
        <v>6.2013040000000004</v>
      </c>
      <c r="BE19" s="6">
        <v>6.7660130000000001</v>
      </c>
      <c r="BF19" s="6">
        <v>6.2317020000000003</v>
      </c>
      <c r="BG19" s="6">
        <v>6.7074999999999996</v>
      </c>
      <c r="BH19" s="6">
        <v>5.9682279999999999</v>
      </c>
      <c r="BI19" s="6">
        <v>6.2742649999999998</v>
      </c>
      <c r="BJ19" s="6">
        <v>6.3130940000000004</v>
      </c>
      <c r="BK19" s="6">
        <v>6.3664849999999999</v>
      </c>
      <c r="BL19" s="6">
        <v>6.4117519999999999</v>
      </c>
      <c r="BM19" s="6">
        <v>6.2185750000000004</v>
      </c>
      <c r="BN19" s="6">
        <v>6.4778479999999998</v>
      </c>
      <c r="BO19" s="6">
        <v>6.1949750000000003</v>
      </c>
      <c r="BP19" s="6">
        <v>6.3927569999999996</v>
      </c>
      <c r="BQ19" s="6">
        <v>6.8880410000000003</v>
      </c>
      <c r="BR19" s="6">
        <v>6.4040299999999997</v>
      </c>
      <c r="BS19" s="6">
        <v>6.5779889999999996</v>
      </c>
      <c r="BT19" s="6">
        <v>6.31</v>
      </c>
    </row>
    <row r="20" spans="1:72">
      <c r="A20" s="7" t="s">
        <v>477</v>
      </c>
      <c r="B20" s="1" t="s">
        <v>26</v>
      </c>
      <c r="C20" s="21">
        <v>0.31792580060654801</v>
      </c>
      <c r="D20" s="21">
        <v>3.6338626539168799E-2</v>
      </c>
      <c r="E20" s="10">
        <v>1.917531588152007E-3</v>
      </c>
      <c r="F20" s="3">
        <v>1.6044427679303124E-3</v>
      </c>
      <c r="G20" s="3">
        <v>6.2579629629629698</v>
      </c>
      <c r="H20" s="1">
        <v>5.8913640000000198</v>
      </c>
      <c r="I20" s="3">
        <f t="shared" si="0"/>
        <v>0.36659896296295003</v>
      </c>
      <c r="J20">
        <v>6</v>
      </c>
      <c r="K20">
        <v>4</v>
      </c>
      <c r="L20" s="1">
        <v>0.164594930092504</v>
      </c>
      <c r="M20" s="4">
        <v>6.07552127783031</v>
      </c>
      <c r="N20" s="21">
        <v>6.7664145275993199</v>
      </c>
      <c r="O20" s="21" t="s">
        <v>456</v>
      </c>
      <c r="P20" s="21">
        <v>26.822098062401299</v>
      </c>
      <c r="Q20" s="21">
        <v>1.21967482140212E-2</v>
      </c>
      <c r="R20" s="21">
        <v>0</v>
      </c>
      <c r="S20" s="21">
        <v>1.8539403545970098E-2</v>
      </c>
      <c r="T20">
        <v>0</v>
      </c>
      <c r="U20" s="21">
        <f t="shared" si="1"/>
        <v>6.2579629629629698</v>
      </c>
      <c r="V20" s="5">
        <v>9.5500000000000007</v>
      </c>
      <c r="W20" s="5">
        <v>6.1749999999999998</v>
      </c>
      <c r="X20" s="5">
        <v>7.3</v>
      </c>
      <c r="Y20" s="5">
        <v>9.5500000000000007</v>
      </c>
      <c r="Z20" s="5">
        <v>6.25</v>
      </c>
      <c r="AA20" s="5">
        <v>3.7</v>
      </c>
      <c r="AB20" s="5">
        <v>6.1566669999999997</v>
      </c>
      <c r="AC20" s="5">
        <v>0</v>
      </c>
      <c r="AD20" s="5">
        <v>6.58</v>
      </c>
      <c r="AE20" s="5">
        <v>7.5250000000000004</v>
      </c>
      <c r="AF20" s="5">
        <v>2.8</v>
      </c>
      <c r="AG20" s="5">
        <v>5.5</v>
      </c>
      <c r="AH20" s="5">
        <v>7.3</v>
      </c>
      <c r="AI20" s="5">
        <v>0</v>
      </c>
      <c r="AJ20" s="5">
        <v>3.25</v>
      </c>
      <c r="AK20" s="5">
        <v>3.61</v>
      </c>
      <c r="AL20" s="5">
        <v>0</v>
      </c>
      <c r="AM20" s="36">
        <v>5.0621170624694997E-3</v>
      </c>
      <c r="AN20" s="36">
        <v>2.0462743797638899E-3</v>
      </c>
      <c r="AO20" s="36">
        <v>2.2164141543493301E-3</v>
      </c>
      <c r="AP20" s="36">
        <v>2.1480036738486001E-3</v>
      </c>
      <c r="AQ20" s="36">
        <v>2.0872954936545902E-3</v>
      </c>
      <c r="AR20" s="36">
        <v>1.89415242733087E-3</v>
      </c>
      <c r="AS20" s="36">
        <v>1.69238908881207E-3</v>
      </c>
      <c r="AT20" s="36">
        <v>1.8489826599384E-3</v>
      </c>
      <c r="AU20" s="36">
        <v>1.6459973069681401E-3</v>
      </c>
      <c r="AV20" s="36">
        <v>1.62148830061133E-3</v>
      </c>
      <c r="AW20" s="36">
        <v>1.61489496178002E-3</v>
      </c>
      <c r="AX20" s="36">
        <v>1.76986318819395E-3</v>
      </c>
      <c r="AY20" s="36">
        <v>1.6950337588102101E-3</v>
      </c>
      <c r="AZ20" s="36">
        <v>1.8445825889089899E-3</v>
      </c>
      <c r="BA20" s="36">
        <v>1.5361055764727401E-3</v>
      </c>
      <c r="BB20" s="36">
        <v>1.8397536587008E-3</v>
      </c>
      <c r="BC20" s="36">
        <v>1.8210088667827301E-3</v>
      </c>
      <c r="BD20" s="6">
        <v>6.5821430000000003</v>
      </c>
      <c r="BE20" s="6">
        <v>6.6073810000000002</v>
      </c>
      <c r="BF20" s="6">
        <v>6.5187790000000003</v>
      </c>
      <c r="BG20" s="6">
        <v>5.3049999999999997</v>
      </c>
      <c r="BH20" s="6">
        <v>6.1417390000000003</v>
      </c>
      <c r="BI20" s="6">
        <v>5.2221739999999999</v>
      </c>
      <c r="BJ20" s="6">
        <v>5.7952110000000001</v>
      </c>
      <c r="BK20" s="6">
        <v>6.0245189999999997</v>
      </c>
      <c r="BL20" s="6">
        <v>5.6637069999999996</v>
      </c>
      <c r="BM20" s="6">
        <v>5.999091</v>
      </c>
      <c r="BN20" s="6">
        <v>5.5022120000000001</v>
      </c>
      <c r="BO20" s="6">
        <v>6.9210200000000004</v>
      </c>
      <c r="BP20" s="6">
        <v>5.0949999999999998</v>
      </c>
      <c r="BQ20" s="6">
        <v>6.0176189999999998</v>
      </c>
      <c r="BR20" s="6">
        <v>5.32</v>
      </c>
      <c r="BS20" s="6">
        <v>6.1187500000000004</v>
      </c>
      <c r="BT20" s="6">
        <v>5.2995450000000002</v>
      </c>
    </row>
    <row r="21" spans="1:72">
      <c r="A21" s="7" t="s">
        <v>292</v>
      </c>
      <c r="B21" s="1" t="s">
        <v>27</v>
      </c>
      <c r="C21" s="21">
        <v>0.35128030818963002</v>
      </c>
      <c r="D21" s="21">
        <v>3.44785539372926E-2</v>
      </c>
      <c r="E21" s="10">
        <v>2.1187053267280949E-3</v>
      </c>
      <c r="F21" s="3">
        <v>1.820404108819643E-3</v>
      </c>
      <c r="G21" s="3">
        <v>6.3949999999999996</v>
      </c>
      <c r="H21" s="1">
        <v>5.7424732006125598</v>
      </c>
      <c r="I21" s="3">
        <f t="shared" si="0"/>
        <v>0.65252679938743974</v>
      </c>
      <c r="J21">
        <v>6</v>
      </c>
      <c r="K21">
        <v>4</v>
      </c>
      <c r="L21" s="1">
        <v>0.12925286910609399</v>
      </c>
      <c r="M21" s="4">
        <v>7.7367721654145596</v>
      </c>
      <c r="N21" s="21">
        <v>6.6256532937179102</v>
      </c>
      <c r="O21" s="21" t="s">
        <v>294</v>
      </c>
      <c r="P21" s="21">
        <v>0.35128030818963002</v>
      </c>
      <c r="Q21" s="21">
        <v>0</v>
      </c>
      <c r="R21" s="21">
        <v>0</v>
      </c>
      <c r="S21" s="21">
        <v>0</v>
      </c>
      <c r="T21">
        <v>0</v>
      </c>
      <c r="U21" s="21">
        <f t="shared" si="1"/>
        <v>6.3949999999999996</v>
      </c>
      <c r="V21" s="5">
        <v>0</v>
      </c>
      <c r="W21" s="5">
        <v>0</v>
      </c>
      <c r="X21" s="5">
        <v>7.84</v>
      </c>
      <c r="Y21" s="5">
        <v>0</v>
      </c>
      <c r="Z21" s="5">
        <v>5.5</v>
      </c>
      <c r="AA21" s="5">
        <v>0</v>
      </c>
      <c r="AB21" s="5">
        <v>2.8</v>
      </c>
      <c r="AC21" s="5">
        <v>0</v>
      </c>
      <c r="AD21" s="5">
        <v>3.61</v>
      </c>
      <c r="AE21" s="5">
        <v>0</v>
      </c>
      <c r="AF21" s="5">
        <v>5.35</v>
      </c>
      <c r="AG21" s="5">
        <v>5.65</v>
      </c>
      <c r="AH21" s="5">
        <v>9.5500000000000007</v>
      </c>
      <c r="AI21" s="5">
        <v>9.91</v>
      </c>
      <c r="AJ21" s="5">
        <v>5.92</v>
      </c>
      <c r="AK21" s="5">
        <v>9.5500000000000007</v>
      </c>
      <c r="AL21" s="5">
        <v>0</v>
      </c>
      <c r="AM21" s="36">
        <v>5.59319828212661E-3</v>
      </c>
      <c r="AN21" s="36">
        <v>2.2609548938545602E-3</v>
      </c>
      <c r="AO21" s="36">
        <v>2.4489445201688201E-3</v>
      </c>
      <c r="AP21" s="36">
        <v>2.3733568999509901E-3</v>
      </c>
      <c r="AQ21" s="36">
        <v>2.3062796504559899E-3</v>
      </c>
      <c r="AR21" s="36">
        <v>2.0928733910915501E-3</v>
      </c>
      <c r="AS21" s="36">
        <v>1.8699424820523001E-3</v>
      </c>
      <c r="AT21" s="36">
        <v>2.0429647338507501E-3</v>
      </c>
      <c r="AU21" s="36">
        <v>1.81868360531908E-3</v>
      </c>
      <c r="AV21" s="36">
        <v>1.7916032888112101E-3</v>
      </c>
      <c r="AW21" s="36">
        <v>1.78431822389279E-3</v>
      </c>
      <c r="AX21" s="36">
        <v>1.9555446114034101E-3</v>
      </c>
      <c r="AY21" s="36">
        <v>1.8728646119651E-3</v>
      </c>
      <c r="AZ21" s="36">
        <v>2.0381030387498201E-3</v>
      </c>
      <c r="BA21" s="36">
        <v>1.69726281819746E-3</v>
      </c>
      <c r="BB21" s="36">
        <v>2.0327674916236602E-3</v>
      </c>
      <c r="BC21" s="36">
        <v>2.0120561298236201E-3</v>
      </c>
      <c r="BD21" s="6">
        <v>5.6950000000000003</v>
      </c>
      <c r="BE21" s="6">
        <v>6.1187500000000004</v>
      </c>
      <c r="BF21" s="6">
        <v>6.2320000000000002</v>
      </c>
      <c r="BG21" s="6">
        <v>5.26</v>
      </c>
      <c r="BH21" s="6">
        <v>5.6047830000000003</v>
      </c>
      <c r="BI21" s="6">
        <v>4.9420000000000002</v>
      </c>
      <c r="BJ21" s="6">
        <v>5.8437070000000002</v>
      </c>
      <c r="BK21" s="6">
        <v>5.8935919999999999</v>
      </c>
      <c r="BL21" s="6">
        <v>5.4116359999999997</v>
      </c>
      <c r="BM21" s="6">
        <v>6.1683329999999996</v>
      </c>
      <c r="BN21" s="6">
        <v>5.9572580000000004</v>
      </c>
      <c r="BO21" s="6">
        <v>5.8021430000000001</v>
      </c>
      <c r="BP21" s="6">
        <v>4.9450000000000003</v>
      </c>
      <c r="BQ21" s="6">
        <v>5.9634999999999998</v>
      </c>
      <c r="BR21" s="6">
        <v>6.0815380000000001</v>
      </c>
      <c r="BS21" s="6">
        <v>5.4427269999999996</v>
      </c>
      <c r="BT21" s="6">
        <v>5.8738460000000003</v>
      </c>
    </row>
    <row r="22" spans="1:72">
      <c r="A22" s="7" t="s">
        <v>293</v>
      </c>
      <c r="B22" s="1" t="s">
        <v>28</v>
      </c>
      <c r="C22" s="21">
        <v>0.26279978581441799</v>
      </c>
      <c r="D22" s="21">
        <v>8.9051143771596893E-3</v>
      </c>
      <c r="E22" s="10">
        <v>1.5850455977379689E-3</v>
      </c>
      <c r="F22" s="3">
        <v>1.3614098888347369E-2</v>
      </c>
      <c r="G22" s="3">
        <v>6.8696116504854299</v>
      </c>
      <c r="H22" s="1">
        <v>7.1966061732143398</v>
      </c>
      <c r="I22" s="3">
        <f t="shared" si="0"/>
        <v>-0.32699452272890994</v>
      </c>
      <c r="J22">
        <v>8</v>
      </c>
      <c r="K22">
        <v>2</v>
      </c>
      <c r="L22" s="1">
        <v>6.5980485483833201E-2</v>
      </c>
      <c r="M22" s="4">
        <v>15.155996392979301</v>
      </c>
      <c r="N22" s="21">
        <v>6.8740258303735997</v>
      </c>
      <c r="O22" s="21" t="s">
        <v>294</v>
      </c>
      <c r="P22" s="21">
        <v>0.26279978581441799</v>
      </c>
      <c r="Q22" s="21">
        <v>0</v>
      </c>
      <c r="R22" s="21">
        <v>0</v>
      </c>
      <c r="S22" s="21">
        <v>0</v>
      </c>
      <c r="T22">
        <v>0</v>
      </c>
      <c r="U22" s="21">
        <f t="shared" si="1"/>
        <v>6.8696116504854299</v>
      </c>
      <c r="V22" s="5">
        <v>6.85</v>
      </c>
      <c r="W22" s="5">
        <v>7.75</v>
      </c>
      <c r="X22" s="5">
        <v>9.91</v>
      </c>
      <c r="Y22" s="5">
        <v>0</v>
      </c>
      <c r="Z22" s="5">
        <v>0</v>
      </c>
      <c r="AA22" s="5">
        <v>7.5250000000000004</v>
      </c>
      <c r="AB22" s="5">
        <v>7.93</v>
      </c>
      <c r="AC22" s="5">
        <v>4.96</v>
      </c>
      <c r="AD22" s="5">
        <v>9.5500000000000007</v>
      </c>
      <c r="AE22" s="5">
        <v>6.515714</v>
      </c>
      <c r="AF22" s="5">
        <v>6.0469229999999996</v>
      </c>
      <c r="AG22" s="5">
        <v>7.6375000000000002</v>
      </c>
      <c r="AH22" s="5">
        <v>6.89</v>
      </c>
      <c r="AI22" s="5">
        <v>7.4124999999999996</v>
      </c>
      <c r="AJ22" s="5">
        <v>6.6571429999999996</v>
      </c>
      <c r="AK22" s="5">
        <v>6.6212499999999999</v>
      </c>
      <c r="AL22" s="5">
        <v>6.5987499999999999</v>
      </c>
      <c r="AM22" s="36">
        <v>4.1843828882288398E-3</v>
      </c>
      <c r="AN22" s="36">
        <v>1.6914653283675799E-3</v>
      </c>
      <c r="AO22" s="36">
        <v>1.83210410708344E-3</v>
      </c>
      <c r="AP22" s="36">
        <v>1.7755555048978001E-3</v>
      </c>
      <c r="AQ22" s="36">
        <v>1.72537368032825E-3</v>
      </c>
      <c r="AR22" s="36">
        <v>1.5657202128695701E-3</v>
      </c>
      <c r="AS22" s="36">
        <v>1.3989411655359401E-3</v>
      </c>
      <c r="AT22" s="36">
        <v>1.5283825536629801E-3</v>
      </c>
      <c r="AU22" s="36">
        <v>1.3605933802700899E-3</v>
      </c>
      <c r="AV22" s="36">
        <v>1.34033405684051E-3</v>
      </c>
      <c r="AW22" s="36">
        <v>1.33488395486903E-3</v>
      </c>
      <c r="AX22" s="36">
        <v>1.46298182120112E-3</v>
      </c>
      <c r="AY22" s="36">
        <v>1.4011272690472999E-3</v>
      </c>
      <c r="AZ22" s="36">
        <v>1.52474542285482E-3</v>
      </c>
      <c r="BA22" s="36">
        <v>1.2697560742638699E-3</v>
      </c>
      <c r="BB22" s="36">
        <v>1.52075379392126E-3</v>
      </c>
      <c r="BC22" s="36">
        <v>1.50525921219242E-3</v>
      </c>
      <c r="BD22" s="6">
        <v>6.8415670000000004</v>
      </c>
      <c r="BE22" s="6">
        <v>6.5454610000000004</v>
      </c>
      <c r="BF22" s="6">
        <v>6.8174440000000001</v>
      </c>
      <c r="BG22" s="6">
        <v>7.3665390000000004</v>
      </c>
      <c r="BH22" s="6">
        <v>6.9959239999999996</v>
      </c>
      <c r="BI22" s="6">
        <v>7.3589789999999997</v>
      </c>
      <c r="BJ22" s="6">
        <v>7.2655989999999999</v>
      </c>
      <c r="BK22" s="6">
        <v>7.1764489999999999</v>
      </c>
      <c r="BL22" s="6">
        <v>7.2279660000000003</v>
      </c>
      <c r="BM22" s="6">
        <v>7.2079389999999997</v>
      </c>
      <c r="BN22" s="6">
        <v>7.2110250000000002</v>
      </c>
      <c r="BO22" s="6">
        <v>7.164015</v>
      </c>
      <c r="BP22" s="6">
        <v>7.2746209999999998</v>
      </c>
      <c r="BQ22" s="6">
        <v>7.2040259999999998</v>
      </c>
      <c r="BR22" s="6">
        <v>7.5423960000000001</v>
      </c>
      <c r="BS22" s="6">
        <v>7.3018609999999997</v>
      </c>
      <c r="BT22" s="6">
        <v>7.2917110000000003</v>
      </c>
    </row>
    <row r="23" spans="1:72">
      <c r="A23" s="7" t="s">
        <v>445</v>
      </c>
      <c r="B23" s="1" t="s">
        <v>29</v>
      </c>
      <c r="C23" s="21">
        <v>0.32889544537517301</v>
      </c>
      <c r="D23" s="21">
        <v>8.1797598769378893E-2</v>
      </c>
      <c r="E23" s="10">
        <v>1.9836936936323251E-3</v>
      </c>
      <c r="F23" s="3">
        <v>3.9835302613510585E-4</v>
      </c>
      <c r="G23" s="3">
        <v>4.375</v>
      </c>
      <c r="H23" s="1">
        <v>4.4590301724138</v>
      </c>
      <c r="I23" s="3">
        <f t="shared" si="0"/>
        <v>-8.4030172413799953E-2</v>
      </c>
      <c r="J23">
        <v>7</v>
      </c>
      <c r="K23">
        <v>4</v>
      </c>
      <c r="L23" s="1">
        <v>0.16894884140944899</v>
      </c>
      <c r="M23" s="4">
        <v>5.9189515101585801</v>
      </c>
      <c r="N23" s="21">
        <v>3.61</v>
      </c>
      <c r="O23" s="21" t="s">
        <v>294</v>
      </c>
      <c r="P23" s="21">
        <v>0.32889544537517301</v>
      </c>
      <c r="Q23" s="21">
        <v>0</v>
      </c>
      <c r="R23" s="21">
        <v>0</v>
      </c>
      <c r="S23" s="21">
        <v>0</v>
      </c>
      <c r="T23">
        <v>0</v>
      </c>
      <c r="U23" s="21">
        <f t="shared" si="1"/>
        <v>4.375</v>
      </c>
      <c r="V23" s="5">
        <v>1.9</v>
      </c>
      <c r="W23" s="5">
        <v>0</v>
      </c>
      <c r="X23" s="5">
        <v>3.7</v>
      </c>
      <c r="Y23" s="5">
        <v>0</v>
      </c>
      <c r="Z23" s="5">
        <v>3.61</v>
      </c>
      <c r="AA23" s="5">
        <v>5.5</v>
      </c>
      <c r="AB23" s="5">
        <v>0</v>
      </c>
      <c r="AC23" s="5">
        <v>6.13</v>
      </c>
      <c r="AD23" s="5">
        <v>5.5</v>
      </c>
      <c r="AE23" s="5">
        <v>3.7</v>
      </c>
      <c r="AF23" s="5">
        <v>0</v>
      </c>
      <c r="AG23" s="5">
        <v>4.24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36">
        <v>5.2367792819136101E-3</v>
      </c>
      <c r="AN23" s="36">
        <v>2.11687859937213E-3</v>
      </c>
      <c r="AO23" s="36">
        <v>2.2928888408547299E-3</v>
      </c>
      <c r="AP23" s="36">
        <v>2.22211793956364E-3</v>
      </c>
      <c r="AQ23" s="36">
        <v>2.15931509712452E-3</v>
      </c>
      <c r="AR23" s="36">
        <v>1.9595078631772398E-3</v>
      </c>
      <c r="AS23" s="36">
        <v>1.7507829249812201E-3</v>
      </c>
      <c r="AT23" s="36">
        <v>1.9127795676576701E-3</v>
      </c>
      <c r="AU23" s="36">
        <v>1.7027904508813E-3</v>
      </c>
      <c r="AV23" s="36">
        <v>1.67743579093848E-3</v>
      </c>
      <c r="AW23" s="36">
        <v>1.6706149569347801E-3</v>
      </c>
      <c r="AX23" s="36">
        <v>1.8309301743476801E-3</v>
      </c>
      <c r="AY23" s="36">
        <v>1.75351884611518E-3</v>
      </c>
      <c r="AZ23" s="36">
        <v>1.90822767750551E-3</v>
      </c>
      <c r="BA23" s="36">
        <v>1.5891070392947701E-3</v>
      </c>
      <c r="BB23" s="36">
        <v>1.9032321309079101E-3</v>
      </c>
      <c r="BC23" s="36">
        <v>1.88384057264307E-3</v>
      </c>
      <c r="BD23" s="6">
        <v>3.085</v>
      </c>
      <c r="BE23" s="6">
        <v>3.4660000000000002</v>
      </c>
      <c r="BF23" s="6">
        <v>5.3650000000000002</v>
      </c>
      <c r="BG23" s="6">
        <v>3.07</v>
      </c>
      <c r="BH23" s="6">
        <v>4.09</v>
      </c>
      <c r="BI23" s="6">
        <v>4.8828569999999996</v>
      </c>
      <c r="BJ23" s="6">
        <v>4.4158330000000001</v>
      </c>
      <c r="BK23" s="6">
        <v>4.54</v>
      </c>
      <c r="BL23" s="6">
        <v>4.9410530000000001</v>
      </c>
      <c r="BM23" s="6">
        <v>4.0312000000000001</v>
      </c>
      <c r="BN23" s="6">
        <v>4.5667390000000001</v>
      </c>
      <c r="BO23" s="6">
        <v>4.6756000000000002</v>
      </c>
      <c r="BP23" s="6">
        <v>3.8639999999999999</v>
      </c>
      <c r="BQ23" s="6">
        <v>5.9320000000000004</v>
      </c>
      <c r="BR23" s="6">
        <v>3.8176920000000001</v>
      </c>
      <c r="BS23" s="6">
        <v>4.28</v>
      </c>
      <c r="BT23" s="6">
        <v>4.7157140000000002</v>
      </c>
    </row>
    <row r="24" spans="1:72">
      <c r="A24" s="7" t="s">
        <v>295</v>
      </c>
      <c r="B24" s="1" t="s">
        <v>30</v>
      </c>
      <c r="C24" s="21">
        <v>0.49853531906649901</v>
      </c>
      <c r="D24" s="21">
        <v>1.8054636824371001E-2</v>
      </c>
      <c r="E24" s="10">
        <v>3.4903555797218331E-3</v>
      </c>
      <c r="F24" s="3">
        <v>6.5822092833431036E-3</v>
      </c>
      <c r="G24" s="3">
        <v>7.6155769230769303</v>
      </c>
      <c r="H24" s="1">
        <v>7.1216288782815003</v>
      </c>
      <c r="I24" s="3">
        <f t="shared" si="0"/>
        <v>0.49394804479543009</v>
      </c>
      <c r="J24">
        <v>2</v>
      </c>
      <c r="K24">
        <v>3</v>
      </c>
      <c r="L24" s="1">
        <v>6.0897083527506203E-2</v>
      </c>
      <c r="M24" s="4">
        <v>16.421147649021901</v>
      </c>
      <c r="N24" s="21">
        <v>6.43276151471244</v>
      </c>
      <c r="O24" s="21" t="s">
        <v>294</v>
      </c>
      <c r="P24" s="21">
        <v>0.49853531906649901</v>
      </c>
      <c r="Q24" s="21">
        <v>0</v>
      </c>
      <c r="R24" s="21">
        <v>0</v>
      </c>
      <c r="S24" s="21">
        <v>0</v>
      </c>
      <c r="T24">
        <v>0</v>
      </c>
      <c r="U24" s="21">
        <f t="shared" si="1"/>
        <v>7.6155769230769303</v>
      </c>
      <c r="V24" s="5">
        <v>8.1999999999999993</v>
      </c>
      <c r="W24" s="5">
        <v>9.5500000000000007</v>
      </c>
      <c r="X24" s="5">
        <v>8.5374999999999996</v>
      </c>
      <c r="Y24" s="5">
        <v>6.85</v>
      </c>
      <c r="Z24" s="5">
        <v>0</v>
      </c>
      <c r="AA24" s="5">
        <v>6.9512499999999999</v>
      </c>
      <c r="AB24" s="5">
        <v>9.5500000000000007</v>
      </c>
      <c r="AC24" s="5">
        <v>7.9749999999999996</v>
      </c>
      <c r="AD24" s="5">
        <v>7.9749999999999996</v>
      </c>
      <c r="AE24" s="5">
        <v>7.7350000000000003</v>
      </c>
      <c r="AF24" s="5">
        <v>7.0750000000000002</v>
      </c>
      <c r="AG24" s="5">
        <v>7.99</v>
      </c>
      <c r="AH24" s="5">
        <v>7.09</v>
      </c>
      <c r="AI24" s="5">
        <v>9.3699999999999992</v>
      </c>
      <c r="AJ24" s="5">
        <v>7.2249999999999996</v>
      </c>
      <c r="AK24" s="5">
        <v>6.62</v>
      </c>
      <c r="AL24" s="5">
        <v>6.25</v>
      </c>
      <c r="AM24" s="36">
        <v>8.7340535086296196E-3</v>
      </c>
      <c r="AN24" s="36">
        <v>3.5305919846659898E-3</v>
      </c>
      <c r="AO24" s="36">
        <v>3.8241470085497E-3</v>
      </c>
      <c r="AP24" s="36">
        <v>3.70611323140253E-3</v>
      </c>
      <c r="AQ24" s="36">
        <v>3.60136881564076E-3</v>
      </c>
      <c r="AR24" s="36">
        <v>3.26812447236015E-3</v>
      </c>
      <c r="AS24" s="36">
        <v>2.9200069213521098E-3</v>
      </c>
      <c r="AT24" s="36">
        <v>3.1901896556600301E-3</v>
      </c>
      <c r="AU24" s="36">
        <v>2.83996367067551E-3</v>
      </c>
      <c r="AV24" s="36">
        <v>2.7976764279424599E-3</v>
      </c>
      <c r="AW24" s="36">
        <v>2.7863004416816802E-3</v>
      </c>
      <c r="AX24" s="36">
        <v>3.0536788458026499E-3</v>
      </c>
      <c r="AY24" s="36">
        <v>2.9245699705647901E-3</v>
      </c>
      <c r="AZ24" s="36">
        <v>3.1825978802549199E-3</v>
      </c>
      <c r="BA24" s="36">
        <v>2.65035915492485E-3</v>
      </c>
      <c r="BB24" s="36">
        <v>3.1742661616661698E-3</v>
      </c>
      <c r="BC24" s="36">
        <v>3.14192435415754E-3</v>
      </c>
      <c r="BD24" s="6">
        <v>7.2403490000000001</v>
      </c>
      <c r="BE24" s="6">
        <v>7.3016220000000001</v>
      </c>
      <c r="BF24" s="6">
        <v>7.4538320000000002</v>
      </c>
      <c r="BG24" s="6">
        <v>7.3022780000000003</v>
      </c>
      <c r="BH24" s="6">
        <v>6.8495590000000002</v>
      </c>
      <c r="BI24" s="6">
        <v>7.0144029999999997</v>
      </c>
      <c r="BJ24" s="6">
        <v>7.1470760000000002</v>
      </c>
      <c r="BK24" s="6">
        <v>7.202928</v>
      </c>
      <c r="BL24" s="6">
        <v>6.8768320000000003</v>
      </c>
      <c r="BM24" s="6">
        <v>6.8971689999999999</v>
      </c>
      <c r="BN24" s="6">
        <v>7.0719180000000001</v>
      </c>
      <c r="BO24" s="6">
        <v>7.0088889999999999</v>
      </c>
      <c r="BP24" s="6">
        <v>7.28681</v>
      </c>
      <c r="BQ24" s="6">
        <v>7.5343229999999997</v>
      </c>
      <c r="BR24" s="6">
        <v>7.3119680000000002</v>
      </c>
      <c r="BS24" s="6">
        <v>7.1117689999999998</v>
      </c>
      <c r="BT24" s="6">
        <v>6.991752</v>
      </c>
    </row>
    <row r="25" spans="1:72">
      <c r="A25" s="7" t="s">
        <v>469</v>
      </c>
      <c r="B25" s="1" t="s">
        <v>31</v>
      </c>
      <c r="C25" s="21">
        <v>0.41104501690831002</v>
      </c>
      <c r="D25" s="21">
        <v>2.9457154956974398E-2</v>
      </c>
      <c r="E25" s="10">
        <v>2.9106400073268882E-3</v>
      </c>
      <c r="F25" s="3">
        <v>2.5561910598832708E-3</v>
      </c>
      <c r="G25" s="3">
        <v>7.0915306122448998</v>
      </c>
      <c r="H25" s="1">
        <v>6.6101701244813604</v>
      </c>
      <c r="I25" s="3">
        <f t="shared" si="0"/>
        <v>0.48136048776353935</v>
      </c>
      <c r="J25">
        <v>2</v>
      </c>
      <c r="K25">
        <v>3</v>
      </c>
      <c r="L25" s="1">
        <v>9.4361559513194804E-2</v>
      </c>
      <c r="M25" s="4">
        <v>10.5975357461125</v>
      </c>
      <c r="N25" s="21">
        <v>6.9794372057837304</v>
      </c>
      <c r="O25" s="21" t="s">
        <v>273</v>
      </c>
      <c r="P25" s="21">
        <v>47.8161126777566</v>
      </c>
      <c r="Q25" s="21">
        <v>8.3415678072293296E-3</v>
      </c>
      <c r="R25" s="21">
        <v>0</v>
      </c>
      <c r="S25" s="21">
        <v>2.6472139699836798E-2</v>
      </c>
      <c r="T25">
        <v>0</v>
      </c>
      <c r="U25" s="21">
        <f t="shared" si="1"/>
        <v>7.0915306122448998</v>
      </c>
      <c r="V25" s="5">
        <v>4.66</v>
      </c>
      <c r="W25" s="5">
        <v>5.5</v>
      </c>
      <c r="X25" s="5">
        <v>7.9</v>
      </c>
      <c r="Y25" s="5">
        <v>6.85</v>
      </c>
      <c r="Z25" s="5">
        <v>8.1999999999999993</v>
      </c>
      <c r="AA25" s="5">
        <v>7.9749999999999996</v>
      </c>
      <c r="AB25" s="5">
        <v>9.5500000000000007</v>
      </c>
      <c r="AC25" s="5">
        <v>5.5</v>
      </c>
      <c r="AD25" s="5">
        <v>7.9187500000000002</v>
      </c>
      <c r="AE25" s="5">
        <v>5.5</v>
      </c>
      <c r="AF25" s="5">
        <v>7.6</v>
      </c>
      <c r="AG25" s="5">
        <v>7.93</v>
      </c>
      <c r="AH25" s="5">
        <v>6.85</v>
      </c>
      <c r="AI25" s="5">
        <v>9.5500000000000007</v>
      </c>
      <c r="AJ25" s="5">
        <v>5.5</v>
      </c>
      <c r="AK25" s="5">
        <v>7.5250000000000004</v>
      </c>
      <c r="AL25" s="5">
        <v>9.5500000000000007</v>
      </c>
      <c r="AM25" s="36">
        <v>7.7598032824177402E-3</v>
      </c>
      <c r="AN25" s="36">
        <v>3.1367679674070901E-3</v>
      </c>
      <c r="AO25" s="36">
        <v>3.3975780523982499E-3</v>
      </c>
      <c r="AP25" s="36">
        <v>3.29271049114072E-3</v>
      </c>
      <c r="AQ25" s="36">
        <v>3.19964991389099E-3</v>
      </c>
      <c r="AR25" s="36">
        <v>2.9035777011113201E-3</v>
      </c>
      <c r="AS25" s="36">
        <v>2.5942913299767298E-3</v>
      </c>
      <c r="AT25" s="36">
        <v>2.8343362148018198E-3</v>
      </c>
      <c r="AU25" s="36">
        <v>2.5231765974276401E-3</v>
      </c>
      <c r="AV25" s="36">
        <v>2.4856063347036801E-3</v>
      </c>
      <c r="AW25" s="36">
        <v>2.47549929615165E-3</v>
      </c>
      <c r="AX25" s="36">
        <v>2.71305266308437E-3</v>
      </c>
      <c r="AY25" s="36">
        <v>2.5983453885216399E-3</v>
      </c>
      <c r="AZ25" s="36">
        <v>2.8275912728742501E-3</v>
      </c>
      <c r="BA25" s="36">
        <v>2.35472173941359E-3</v>
      </c>
      <c r="BB25" s="36">
        <v>2.8201889255919398E-3</v>
      </c>
      <c r="BC25" s="36">
        <v>2.7914547228741799E-3</v>
      </c>
      <c r="BD25" s="6">
        <v>6.13</v>
      </c>
      <c r="BE25" s="6">
        <v>6.3540000000000001</v>
      </c>
      <c r="BF25" s="6">
        <v>5.9559620000000004</v>
      </c>
      <c r="BG25" s="6">
        <v>6.6936840000000002</v>
      </c>
      <c r="BH25" s="6">
        <v>6.4108619999999998</v>
      </c>
      <c r="BI25" s="6">
        <v>6.7750000000000004</v>
      </c>
      <c r="BJ25" s="6">
        <v>6.5580429999999996</v>
      </c>
      <c r="BK25" s="6">
        <v>6.1849540000000003</v>
      </c>
      <c r="BL25" s="6">
        <v>6.4782799999999998</v>
      </c>
      <c r="BM25" s="6">
        <v>6.4177530000000003</v>
      </c>
      <c r="BN25" s="6">
        <v>6.942615</v>
      </c>
      <c r="BO25" s="6">
        <v>6.9531669999999997</v>
      </c>
      <c r="BP25" s="6">
        <v>6.5551899999999996</v>
      </c>
      <c r="BQ25" s="6">
        <v>6.9226140000000003</v>
      </c>
      <c r="BR25" s="6">
        <v>6.277838</v>
      </c>
      <c r="BS25" s="6">
        <v>6.9491529999999999</v>
      </c>
      <c r="BT25" s="6">
        <v>7.1554549999999999</v>
      </c>
    </row>
    <row r="26" spans="1:72">
      <c r="A26" s="7" t="s">
        <v>297</v>
      </c>
      <c r="B26" s="1" t="s">
        <v>32</v>
      </c>
      <c r="C26" s="21">
        <v>0.37356144553174597</v>
      </c>
      <c r="D26" s="21">
        <v>1.1460937004682301E-2</v>
      </c>
      <c r="E26" s="10">
        <v>2.2530913519954671E-3</v>
      </c>
      <c r="F26" s="3">
        <v>1.1532644618178376E-2</v>
      </c>
      <c r="G26" s="3">
        <v>6.9144220430107399</v>
      </c>
      <c r="H26" s="1">
        <v>6.8776247776197996</v>
      </c>
      <c r="I26" s="3">
        <f t="shared" si="0"/>
        <v>3.6797265390940304E-2</v>
      </c>
      <c r="J26">
        <v>1</v>
      </c>
      <c r="K26">
        <v>2</v>
      </c>
      <c r="L26" s="1">
        <v>4.3713736429429398E-2</v>
      </c>
      <c r="M26" s="4">
        <v>22.876104439490799</v>
      </c>
      <c r="N26" s="21">
        <v>6.3559914738872996</v>
      </c>
      <c r="O26" s="21" t="s">
        <v>294</v>
      </c>
      <c r="P26" s="21">
        <v>0.37356144553174597</v>
      </c>
      <c r="Q26" s="21">
        <v>0</v>
      </c>
      <c r="R26" s="21">
        <v>0</v>
      </c>
      <c r="S26" s="21">
        <v>0</v>
      </c>
      <c r="T26">
        <v>0</v>
      </c>
      <c r="U26" s="21">
        <f t="shared" si="1"/>
        <v>6.9144220430107399</v>
      </c>
      <c r="V26" s="5">
        <v>5.9950000000000001</v>
      </c>
      <c r="W26" s="5">
        <v>5.9950000000000001</v>
      </c>
      <c r="X26" s="5">
        <v>5.4775</v>
      </c>
      <c r="Y26" s="5">
        <v>4.8250000000000002</v>
      </c>
      <c r="Z26" s="5">
        <v>7.44625</v>
      </c>
      <c r="AA26" s="5">
        <v>8.0875000000000004</v>
      </c>
      <c r="AB26" s="5">
        <v>7.3</v>
      </c>
      <c r="AC26" s="5">
        <v>7.0339130000000001</v>
      </c>
      <c r="AD26" s="5">
        <v>8.7850000000000001</v>
      </c>
      <c r="AE26" s="5">
        <v>8.2449999999999992</v>
      </c>
      <c r="AF26" s="5">
        <v>6.6756669999999998</v>
      </c>
      <c r="AG26" s="5">
        <v>6.806</v>
      </c>
      <c r="AH26" s="5">
        <v>7.3875000000000002</v>
      </c>
      <c r="AI26" s="5">
        <v>7.420909</v>
      </c>
      <c r="AJ26" s="5">
        <v>7.33</v>
      </c>
      <c r="AK26" s="5">
        <v>6.9939999999999998</v>
      </c>
      <c r="AL26" s="5">
        <v>5.6478570000000001</v>
      </c>
      <c r="AM26" s="36">
        <v>5.9479657319390098E-3</v>
      </c>
      <c r="AN26" s="36">
        <v>2.4043635772900899E-3</v>
      </c>
      <c r="AO26" s="36">
        <v>2.6042770791679698E-3</v>
      </c>
      <c r="AP26" s="36">
        <v>2.5238950594117298E-3</v>
      </c>
      <c r="AQ26" s="36">
        <v>2.4525632093208901E-3</v>
      </c>
      <c r="AR26" s="36">
        <v>2.2256209387889799E-3</v>
      </c>
      <c r="AS26" s="36">
        <v>1.9885498855790901E-3</v>
      </c>
      <c r="AT26" s="36">
        <v>2.1725466567732699E-3</v>
      </c>
      <c r="AU26" s="36">
        <v>1.9340397418494901E-3</v>
      </c>
      <c r="AV26" s="36">
        <v>1.90524176500794E-3</v>
      </c>
      <c r="AW26" s="36">
        <v>1.8974946202968E-3</v>
      </c>
      <c r="AX26" s="36">
        <v>2.07958161845874E-3</v>
      </c>
      <c r="AY26" s="36">
        <v>1.9916573614290299E-3</v>
      </c>
      <c r="AZ26" s="36">
        <v>2.1673765922769202E-3</v>
      </c>
      <c r="BA26" s="36">
        <v>1.8049174321233599E-3</v>
      </c>
      <c r="BB26" s="36">
        <v>2.1617026200937799E-3</v>
      </c>
      <c r="BC26" s="36">
        <v>2.13967757037543E-3</v>
      </c>
      <c r="BD26" s="6">
        <v>6.7893330000000001</v>
      </c>
      <c r="BE26" s="6">
        <v>7.1187050000000003</v>
      </c>
      <c r="BF26" s="6">
        <v>7.2474220000000003</v>
      </c>
      <c r="BG26" s="6">
        <v>7.1386589999999996</v>
      </c>
      <c r="BH26" s="6">
        <v>7.3312150000000003</v>
      </c>
      <c r="BI26" s="6">
        <v>6.783652</v>
      </c>
      <c r="BJ26" s="6">
        <v>6.8985380000000003</v>
      </c>
      <c r="BK26" s="6">
        <v>6.8175780000000001</v>
      </c>
      <c r="BL26" s="6">
        <v>6.8254659999999996</v>
      </c>
      <c r="BM26" s="6">
        <v>6.9829619999999997</v>
      </c>
      <c r="BN26" s="6">
        <v>6.8345940000000001</v>
      </c>
      <c r="BO26" s="6">
        <v>6.8243020000000003</v>
      </c>
      <c r="BP26" s="6">
        <v>6.9743899999999996</v>
      </c>
      <c r="BQ26" s="6">
        <v>6.5379889999999996</v>
      </c>
      <c r="BR26" s="6">
        <v>6.8086539999999998</v>
      </c>
      <c r="BS26" s="6">
        <v>6.6298310000000003</v>
      </c>
      <c r="BT26" s="6">
        <v>6.6530620000000003</v>
      </c>
    </row>
    <row r="27" spans="1:72">
      <c r="A27" s="7" t="s">
        <v>298</v>
      </c>
      <c r="B27" s="1" t="s">
        <v>33</v>
      </c>
      <c r="C27" s="21">
        <v>0.40504198430558602</v>
      </c>
      <c r="D27" s="21">
        <v>3.9979147499960697E-2</v>
      </c>
      <c r="E27" s="10">
        <v>2.4429624709663591E-3</v>
      </c>
      <c r="F27" s="3">
        <v>1.565135436223607E-3</v>
      </c>
      <c r="G27" s="3">
        <v>7.32</v>
      </c>
      <c r="H27" s="1">
        <v>5.80426247288504</v>
      </c>
      <c r="I27" s="3">
        <f t="shared" si="0"/>
        <v>1.5157375271149602</v>
      </c>
      <c r="J27">
        <v>2</v>
      </c>
      <c r="K27">
        <v>3</v>
      </c>
      <c r="L27" s="1">
        <v>0.136419206026067</v>
      </c>
      <c r="M27" s="4">
        <v>7.3303461376906096</v>
      </c>
      <c r="N27" s="21">
        <v>5.5</v>
      </c>
      <c r="O27" s="21" t="s">
        <v>294</v>
      </c>
      <c r="P27" s="21">
        <v>0.40504198430558602</v>
      </c>
      <c r="Q27" s="21">
        <v>0</v>
      </c>
      <c r="R27" s="21">
        <v>0</v>
      </c>
      <c r="S27" s="21">
        <v>0</v>
      </c>
      <c r="T27">
        <v>2.1871526857444801</v>
      </c>
      <c r="U27" s="21">
        <f t="shared" si="1"/>
        <v>9.5071526857444795</v>
      </c>
      <c r="V27" s="5">
        <v>0</v>
      </c>
      <c r="W27" s="5">
        <v>5.5</v>
      </c>
      <c r="X27" s="5">
        <v>9.5500000000000007</v>
      </c>
      <c r="Y27" s="5">
        <v>9.5500000000000007</v>
      </c>
      <c r="Z27" s="5">
        <v>7.5250000000000004</v>
      </c>
      <c r="AA27" s="5">
        <v>0</v>
      </c>
      <c r="AB27" s="5">
        <v>0</v>
      </c>
      <c r="AC27" s="5">
        <v>9.5500000000000007</v>
      </c>
      <c r="AD27" s="5">
        <v>9.1</v>
      </c>
      <c r="AE27" s="5">
        <v>3.61</v>
      </c>
      <c r="AF27" s="5">
        <v>6.1749999999999998</v>
      </c>
      <c r="AG27" s="5">
        <v>5.95</v>
      </c>
      <c r="AH27" s="5">
        <v>0</v>
      </c>
      <c r="AI27" s="5">
        <v>1.9</v>
      </c>
      <c r="AJ27" s="5">
        <v>0</v>
      </c>
      <c r="AK27" s="5">
        <v>9.5500000000000007</v>
      </c>
      <c r="AL27" s="5">
        <v>0</v>
      </c>
      <c r="AM27" s="36">
        <v>6.4492090162486197E-3</v>
      </c>
      <c r="AN27" s="36">
        <v>2.6069826155410798E-3</v>
      </c>
      <c r="AO27" s="36">
        <v>2.8237431042334501E-3</v>
      </c>
      <c r="AP27" s="36">
        <v>2.73658718069265E-3</v>
      </c>
      <c r="AQ27" s="36">
        <v>2.6592440971100902E-3</v>
      </c>
      <c r="AR27" s="36">
        <v>2.4131770881118501E-3</v>
      </c>
      <c r="AS27" s="36">
        <v>2.1561277299349999E-3</v>
      </c>
      <c r="AT27" s="36">
        <v>2.3556301630734901E-3</v>
      </c>
      <c r="AU27" s="36">
        <v>2.09702394113369E-3</v>
      </c>
      <c r="AV27" s="36">
        <v>2.0657991190236799E-3</v>
      </c>
      <c r="AW27" s="36">
        <v>2.0573991117316202E-3</v>
      </c>
      <c r="AX27" s="36">
        <v>2.2548308326276901E-3</v>
      </c>
      <c r="AY27" s="36">
        <v>2.15949707706517E-3</v>
      </c>
      <c r="AZ27" s="36">
        <v>2.3500244101039599E-3</v>
      </c>
      <c r="BA27" s="36">
        <v>1.9570203160937899E-3</v>
      </c>
      <c r="BB27" s="36">
        <v>2.34387228445116E-3</v>
      </c>
      <c r="BC27" s="36">
        <v>2.3199911533840901E-3</v>
      </c>
      <c r="BD27" s="6">
        <v>5.7076919999999998</v>
      </c>
      <c r="BE27" s="6">
        <v>6.01</v>
      </c>
      <c r="BF27" s="6">
        <v>5.8514290000000004</v>
      </c>
      <c r="BG27" s="6">
        <v>5.8150000000000004</v>
      </c>
      <c r="BH27" s="6">
        <v>5.7565</v>
      </c>
      <c r="BI27" s="6">
        <v>4.7944000000000004</v>
      </c>
      <c r="BJ27" s="6">
        <v>6.6148389999999999</v>
      </c>
      <c r="BK27" s="6">
        <v>5.6760869999999999</v>
      </c>
      <c r="BL27" s="6">
        <v>6.0266219999999997</v>
      </c>
      <c r="BM27" s="6">
        <v>5.6954289999999999</v>
      </c>
      <c r="BN27" s="6">
        <v>5.7134289999999996</v>
      </c>
      <c r="BO27" s="6">
        <v>5.3543640000000003</v>
      </c>
      <c r="BP27" s="6">
        <v>5.1657140000000004</v>
      </c>
      <c r="BQ27" s="6">
        <v>6.9505879999999998</v>
      </c>
      <c r="BR27" s="6">
        <v>5.4307689999999997</v>
      </c>
      <c r="BS27" s="6">
        <v>6.1023079999999998</v>
      </c>
      <c r="BT27" s="6">
        <v>5.8115379999999996</v>
      </c>
    </row>
    <row r="28" spans="1:72">
      <c r="A28" s="7" t="s">
        <v>446</v>
      </c>
      <c r="B28" s="1" t="s">
        <v>34</v>
      </c>
      <c r="C28" s="21">
        <v>0.33697538605250899</v>
      </c>
      <c r="D28" s="21">
        <v>2.67605244122338E-2</v>
      </c>
      <c r="E28" s="10">
        <v>2.0324268931701632E-3</v>
      </c>
      <c r="F28" s="3">
        <v>2.6262612420305462E-3</v>
      </c>
      <c r="G28" s="3">
        <v>5.8386585365853696</v>
      </c>
      <c r="H28" s="1">
        <v>5.94391055045873</v>
      </c>
      <c r="I28" s="3">
        <f t="shared" si="0"/>
        <v>-0.10525201387336036</v>
      </c>
      <c r="J28">
        <v>7</v>
      </c>
      <c r="K28">
        <v>4</v>
      </c>
      <c r="L28" s="1">
        <v>9.1740043475143002E-2</v>
      </c>
      <c r="M28" s="4">
        <v>10.9003654469703</v>
      </c>
      <c r="N28" s="21">
        <v>6.5309370982399804</v>
      </c>
      <c r="O28" s="21" t="s">
        <v>294</v>
      </c>
      <c r="P28" s="21">
        <v>0.33697538605250899</v>
      </c>
      <c r="Q28" s="21">
        <v>0</v>
      </c>
      <c r="R28" s="21">
        <v>0</v>
      </c>
      <c r="S28" s="21">
        <v>0</v>
      </c>
      <c r="T28">
        <v>0</v>
      </c>
      <c r="U28" s="21">
        <f t="shared" si="1"/>
        <v>5.8386585365853696</v>
      </c>
      <c r="V28" s="5">
        <v>6.22</v>
      </c>
      <c r="W28" s="5">
        <v>0</v>
      </c>
      <c r="X28" s="5">
        <v>4.8025000000000002</v>
      </c>
      <c r="Y28" s="5">
        <v>5.5</v>
      </c>
      <c r="Z28" s="5">
        <v>0</v>
      </c>
      <c r="AA28" s="5">
        <v>4.5999999999999996</v>
      </c>
      <c r="AB28" s="5">
        <v>3.7</v>
      </c>
      <c r="AC28" s="5">
        <v>8.1333330000000004</v>
      </c>
      <c r="AD28" s="5">
        <v>0</v>
      </c>
      <c r="AE28" s="5">
        <v>8.0875000000000004</v>
      </c>
      <c r="AF28" s="5">
        <v>5.74</v>
      </c>
      <c r="AG28" s="5">
        <v>6.9249999999999998</v>
      </c>
      <c r="AH28" s="5">
        <v>3.7</v>
      </c>
      <c r="AI28" s="5">
        <v>5.5</v>
      </c>
      <c r="AJ28" s="5">
        <v>4.4649999999999999</v>
      </c>
      <c r="AK28" s="5">
        <v>5.4775</v>
      </c>
      <c r="AL28" s="5">
        <v>5.1849999999999996</v>
      </c>
      <c r="AM28" s="36">
        <v>5.3654307014852501E-3</v>
      </c>
      <c r="AN28" s="36">
        <v>2.1688837388307699E-3</v>
      </c>
      <c r="AO28" s="36">
        <v>2.34921800586551E-3</v>
      </c>
      <c r="AP28" s="36">
        <v>2.2767084831001698E-3</v>
      </c>
      <c r="AQ28" s="36">
        <v>2.2123627696714601E-3</v>
      </c>
      <c r="AR28" s="36">
        <v>2.0076468918986201E-3</v>
      </c>
      <c r="AS28" s="36">
        <v>1.7937942295513001E-3</v>
      </c>
      <c r="AT28" s="36">
        <v>1.9597706271351498E-3</v>
      </c>
      <c r="AU28" s="36">
        <v>1.7446227292619301E-3</v>
      </c>
      <c r="AV28" s="36">
        <v>1.71864518398849E-3</v>
      </c>
      <c r="AW28" s="36">
        <v>1.71165678325532E-3</v>
      </c>
      <c r="AX28" s="36">
        <v>1.8759104481736E-3</v>
      </c>
      <c r="AY28" s="36">
        <v>1.79659736377917E-3</v>
      </c>
      <c r="AZ28" s="36">
        <v>1.9551069111644198E-3</v>
      </c>
      <c r="BA28" s="36">
        <v>1.62814646896152E-3</v>
      </c>
      <c r="BB28" s="36">
        <v>1.94998863948586E-3</v>
      </c>
      <c r="BC28" s="36">
        <v>1.9301206907978001E-3</v>
      </c>
      <c r="BD28" s="6">
        <v>6.5883330000000004</v>
      </c>
      <c r="BE28" s="6">
        <v>5.8644999999999996</v>
      </c>
      <c r="BF28" s="6">
        <v>6.1342189999999999</v>
      </c>
      <c r="BG28" s="6">
        <v>5.7536360000000002</v>
      </c>
      <c r="BH28" s="6">
        <v>6.3775000000000004</v>
      </c>
      <c r="BI28" s="6">
        <v>6.2558059999999998</v>
      </c>
      <c r="BJ28" s="6">
        <v>5.4290070000000004</v>
      </c>
      <c r="BK28" s="6">
        <v>6.0513310000000002</v>
      </c>
      <c r="BL28" s="6">
        <v>6.1344589999999997</v>
      </c>
      <c r="BM28" s="6">
        <v>5.8927880000000004</v>
      </c>
      <c r="BN28" s="6">
        <v>5.6027180000000003</v>
      </c>
      <c r="BO28" s="6">
        <v>5.8519420000000002</v>
      </c>
      <c r="BP28" s="6">
        <v>6.0609999999999999</v>
      </c>
      <c r="BQ28" s="6">
        <v>5.6948860000000003</v>
      </c>
      <c r="BR28" s="6">
        <v>5.8507449999999999</v>
      </c>
      <c r="BS28" s="6">
        <v>6.1276190000000001</v>
      </c>
      <c r="BT28" s="6">
        <v>6.282</v>
      </c>
    </row>
    <row r="29" spans="1:72">
      <c r="A29" s="7" t="s">
        <v>300</v>
      </c>
      <c r="B29" s="1" t="s">
        <v>35</v>
      </c>
      <c r="C29" s="21">
        <v>0.38179982275033902</v>
      </c>
      <c r="D29" s="21">
        <v>1.9393230754663201E-2</v>
      </c>
      <c r="E29" s="10">
        <v>2.302780142655505E-3</v>
      </c>
      <c r="F29" s="3">
        <v>4.5837550482774473E-3</v>
      </c>
      <c r="G29" s="3">
        <v>6.3291803278688503</v>
      </c>
      <c r="H29" s="1">
        <v>6.42840090090088</v>
      </c>
      <c r="I29" s="3">
        <f t="shared" si="0"/>
        <v>-9.9220573032029691E-2</v>
      </c>
      <c r="J29">
        <v>3</v>
      </c>
      <c r="K29">
        <v>2</v>
      </c>
      <c r="L29" s="1">
        <v>0.106486001869188</v>
      </c>
      <c r="M29" s="4">
        <v>9.3909056819359495</v>
      </c>
      <c r="N29" s="21">
        <v>6.8460346222296602</v>
      </c>
      <c r="O29" s="21" t="s">
        <v>294</v>
      </c>
      <c r="P29" s="21">
        <v>0.38179982275033902</v>
      </c>
      <c r="Q29" s="21">
        <v>0</v>
      </c>
      <c r="R29" s="21">
        <v>0</v>
      </c>
      <c r="S29" s="21">
        <v>0</v>
      </c>
      <c r="T29">
        <v>0</v>
      </c>
      <c r="U29" s="21">
        <f t="shared" si="1"/>
        <v>6.3291803278688503</v>
      </c>
      <c r="V29" s="5">
        <v>6.55</v>
      </c>
      <c r="W29" s="5">
        <v>6.94</v>
      </c>
      <c r="X29" s="5">
        <v>3.82</v>
      </c>
      <c r="Y29" s="5">
        <v>0</v>
      </c>
      <c r="Z29" s="5">
        <v>3.7</v>
      </c>
      <c r="AA29" s="5">
        <v>6.625</v>
      </c>
      <c r="AB29" s="5">
        <v>0</v>
      </c>
      <c r="AC29" s="5">
        <v>3.6549999999999998</v>
      </c>
      <c r="AD29" s="5">
        <v>7.5250000000000004</v>
      </c>
      <c r="AE29" s="5">
        <v>6.76</v>
      </c>
      <c r="AF29" s="5">
        <v>6.1749999999999998</v>
      </c>
      <c r="AG29" s="5">
        <v>6.7262500000000003</v>
      </c>
      <c r="AH29" s="5">
        <v>5.35</v>
      </c>
      <c r="AI29" s="5">
        <v>5.4775</v>
      </c>
      <c r="AJ29" s="5">
        <v>5.68</v>
      </c>
      <c r="AK29" s="5">
        <v>8.1999999999999993</v>
      </c>
      <c r="AL29" s="5">
        <v>7.7649999999999997</v>
      </c>
      <c r="AM29" s="36">
        <v>6.0791398291835099E-3</v>
      </c>
      <c r="AN29" s="36">
        <v>2.45738846611974E-3</v>
      </c>
      <c r="AO29" s="36">
        <v>2.6617107817530402E-3</v>
      </c>
      <c r="AP29" s="36">
        <v>2.5795560485429299E-3</v>
      </c>
      <c r="AQ29" s="36">
        <v>2.50665107388107E-3</v>
      </c>
      <c r="AR29" s="36">
        <v>2.2747039077587699E-3</v>
      </c>
      <c r="AS29" s="36">
        <v>2.0324045827683902E-3</v>
      </c>
      <c r="AT29" s="36">
        <v>2.2204591463986798E-3</v>
      </c>
      <c r="AU29" s="36">
        <v>1.9766922937648201E-3</v>
      </c>
      <c r="AV29" s="36">
        <v>1.9472592176666601E-3</v>
      </c>
      <c r="AW29" s="36">
        <v>1.9393412204725901E-3</v>
      </c>
      <c r="AX29" s="36">
        <v>2.1254438936871901E-3</v>
      </c>
      <c r="AY29" s="36">
        <v>2.03558058966873E-3</v>
      </c>
      <c r="AZ29" s="36">
        <v>2.21517506333303E-3</v>
      </c>
      <c r="BA29" s="36">
        <v>1.8447223713966899E-3</v>
      </c>
      <c r="BB29" s="36">
        <v>2.2093759595986202E-3</v>
      </c>
      <c r="BC29" s="36">
        <v>2.1868651780950301E-3</v>
      </c>
      <c r="BD29" s="6">
        <v>5.5284690000000003</v>
      </c>
      <c r="BE29" s="6">
        <v>6.3752500000000003</v>
      </c>
      <c r="BF29" s="6">
        <v>6.3783539999999999</v>
      </c>
      <c r="BG29" s="6">
        <v>6.1944439999999998</v>
      </c>
      <c r="BH29" s="6">
        <v>6.4424650000000003</v>
      </c>
      <c r="BI29" s="6">
        <v>6.481649</v>
      </c>
      <c r="BJ29" s="6">
        <v>5.917554</v>
      </c>
      <c r="BK29" s="6">
        <v>6.4768790000000003</v>
      </c>
      <c r="BL29" s="6">
        <v>6.4319569999999997</v>
      </c>
      <c r="BM29" s="6">
        <v>6.322203</v>
      </c>
      <c r="BN29" s="6">
        <v>6.8636780000000002</v>
      </c>
      <c r="BO29" s="6">
        <v>6.4720959999999996</v>
      </c>
      <c r="BP29" s="6">
        <v>6.4476639999999996</v>
      </c>
      <c r="BQ29" s="6">
        <v>5.7454070000000002</v>
      </c>
      <c r="BR29" s="6">
        <v>7.0014289999999999</v>
      </c>
      <c r="BS29" s="6">
        <v>7.1757999999999997</v>
      </c>
      <c r="BT29" s="6">
        <v>6.64527</v>
      </c>
    </row>
    <row r="30" spans="1:72">
      <c r="A30" s="7" t="s">
        <v>301</v>
      </c>
      <c r="B30" s="1" t="s">
        <v>36</v>
      </c>
      <c r="C30" s="21">
        <v>0.38659245377309298</v>
      </c>
      <c r="D30" s="21">
        <v>1.3946020116840799E-2</v>
      </c>
      <c r="E30" s="10">
        <v>4.2360599393071463E-3</v>
      </c>
      <c r="F30" s="3">
        <v>1.521728930468493E-2</v>
      </c>
      <c r="G30" s="3">
        <v>5.6025172413793101</v>
      </c>
      <c r="H30" s="1">
        <v>5.4991127074781803</v>
      </c>
      <c r="I30" s="3">
        <f t="shared" si="0"/>
        <v>0.1034045339011298</v>
      </c>
      <c r="J30">
        <v>1</v>
      </c>
      <c r="K30">
        <v>2</v>
      </c>
      <c r="L30" s="1">
        <v>4.1673475868009797E-2</v>
      </c>
      <c r="M30" s="4">
        <v>23.9960785408745</v>
      </c>
      <c r="N30" s="21">
        <v>6.4569088797313299</v>
      </c>
      <c r="O30" s="21" t="s">
        <v>294</v>
      </c>
      <c r="P30" s="21">
        <v>0.38659245377309298</v>
      </c>
      <c r="Q30" s="21">
        <v>0</v>
      </c>
      <c r="R30" s="21">
        <v>0</v>
      </c>
      <c r="S30" s="21">
        <v>0</v>
      </c>
      <c r="T30">
        <v>0</v>
      </c>
      <c r="U30" s="21">
        <f t="shared" si="1"/>
        <v>5.6025172413793101</v>
      </c>
      <c r="V30" s="5">
        <v>5.4459999999999997</v>
      </c>
      <c r="W30" s="5">
        <v>4.9093749999999998</v>
      </c>
      <c r="X30" s="5">
        <v>6.1814289999999996</v>
      </c>
      <c r="Y30" s="5">
        <v>3.6549999999999998</v>
      </c>
      <c r="Z30" s="5">
        <v>4.3</v>
      </c>
      <c r="AA30" s="5">
        <v>5.9266670000000001</v>
      </c>
      <c r="AB30" s="5">
        <v>5.65</v>
      </c>
      <c r="AC30" s="5">
        <v>4.6830769999999999</v>
      </c>
      <c r="AD30" s="5">
        <v>5.65</v>
      </c>
      <c r="AE30" s="5">
        <v>4.4874999999999998</v>
      </c>
      <c r="AF30" s="5">
        <v>5.8375000000000004</v>
      </c>
      <c r="AG30" s="5">
        <v>5.125</v>
      </c>
      <c r="AH30" s="5">
        <v>6.1660000000000004</v>
      </c>
      <c r="AI30" s="5">
        <v>6.88</v>
      </c>
      <c r="AJ30" s="5">
        <v>4.875</v>
      </c>
      <c r="AK30" s="5">
        <v>5.5934619999999997</v>
      </c>
      <c r="AL30" s="5">
        <v>6.3509089999999997</v>
      </c>
      <c r="AM30" s="36">
        <v>9.9829049490588895E-3</v>
      </c>
      <c r="AN30" s="36">
        <v>4.0354188535718996E-3</v>
      </c>
      <c r="AO30" s="36">
        <v>4.3709482727418503E-3</v>
      </c>
      <c r="AP30" s="36">
        <v>4.2360372629942702E-3</v>
      </c>
      <c r="AQ30" s="36">
        <v>4.1163158134449604E-3</v>
      </c>
      <c r="AR30" s="36">
        <v>3.7354220393806198E-3</v>
      </c>
      <c r="AS30" s="36">
        <v>3.3375283901856899E-3</v>
      </c>
      <c r="AT30" s="36">
        <v>3.6463435987034499E-3</v>
      </c>
      <c r="AU30" s="36">
        <v>3.2460400380100699E-3</v>
      </c>
      <c r="AV30" s="36">
        <v>3.19770629190413E-3</v>
      </c>
      <c r="AW30" s="36">
        <v>3.1847036935766702E-3</v>
      </c>
      <c r="AX30" s="36">
        <v>3.49031359064604E-3</v>
      </c>
      <c r="AY30" s="36">
        <v>3.3427438936770599E-3</v>
      </c>
      <c r="AZ30" s="36">
        <v>3.63766630216651E-3</v>
      </c>
      <c r="BA30" s="36">
        <v>3.0293246427149602E-3</v>
      </c>
      <c r="BB30" s="36">
        <v>3.6281432605854598E-3</v>
      </c>
      <c r="BC30" s="36">
        <v>3.59117701233425E-3</v>
      </c>
      <c r="BD30" s="6">
        <v>5.4777120000000004</v>
      </c>
      <c r="BE30" s="6">
        <v>5.5433570000000003</v>
      </c>
      <c r="BF30" s="6">
        <v>5.7559810000000002</v>
      </c>
      <c r="BG30" s="6">
        <v>5.6166330000000002</v>
      </c>
      <c r="BH30" s="6">
        <v>5.3973240000000002</v>
      </c>
      <c r="BI30" s="6">
        <v>5.4455520000000002</v>
      </c>
      <c r="BJ30" s="6">
        <v>5.2479110000000002</v>
      </c>
      <c r="BK30" s="6">
        <v>5.2972859999999997</v>
      </c>
      <c r="BL30" s="6">
        <v>5.3873990000000003</v>
      </c>
      <c r="BM30" s="6">
        <v>5.4468259999999997</v>
      </c>
      <c r="BN30" s="6">
        <v>5.4985879999999998</v>
      </c>
      <c r="BO30" s="6">
        <v>5.5187910000000002</v>
      </c>
      <c r="BP30" s="6">
        <v>5.4930750000000002</v>
      </c>
      <c r="BQ30" s="6">
        <v>5.829485</v>
      </c>
      <c r="BR30" s="6">
        <v>5.7235509999999996</v>
      </c>
      <c r="BS30" s="6">
        <v>5.4463929999999996</v>
      </c>
      <c r="BT30" s="6">
        <v>5.8023179999999996</v>
      </c>
    </row>
    <row r="31" spans="1:72">
      <c r="A31" s="7" t="s">
        <v>302</v>
      </c>
      <c r="B31" s="1" t="s">
        <v>37</v>
      </c>
      <c r="C31" s="21">
        <v>0.183959181603054</v>
      </c>
      <c r="D31" s="21">
        <v>2.31626849742455E-2</v>
      </c>
      <c r="E31" s="10">
        <v>1.109527886637277E-3</v>
      </c>
      <c r="F31" s="3">
        <v>7.1194263116551582E-3</v>
      </c>
      <c r="G31" s="3">
        <v>4.7167857142857104</v>
      </c>
      <c r="H31" s="1">
        <v>5.3378149414062204</v>
      </c>
      <c r="I31" s="3">
        <f t="shared" si="0"/>
        <v>-0.62102922712051001</v>
      </c>
      <c r="J31">
        <v>7</v>
      </c>
      <c r="K31">
        <v>4</v>
      </c>
      <c r="L31" s="1">
        <v>4.8836386059123799E-2</v>
      </c>
      <c r="M31" s="4">
        <v>20.476535646788999</v>
      </c>
      <c r="N31" s="21">
        <v>6.105649757448</v>
      </c>
      <c r="O31" s="21" t="s">
        <v>456</v>
      </c>
      <c r="P31" s="21">
        <v>44.484208738521097</v>
      </c>
      <c r="Q31" s="21">
        <v>4.2706809263591099E-3</v>
      </c>
      <c r="R31" s="21">
        <v>0</v>
      </c>
      <c r="S31" s="21">
        <v>2.93935427135287E-2</v>
      </c>
      <c r="T31">
        <v>0</v>
      </c>
      <c r="U31" s="21">
        <f t="shared" si="1"/>
        <v>4.7167857142857104</v>
      </c>
      <c r="V31" s="5">
        <v>0</v>
      </c>
      <c r="W31" s="5">
        <v>3.7</v>
      </c>
      <c r="X31" s="5">
        <v>4.915</v>
      </c>
      <c r="Y31" s="5">
        <v>3.2050000000000001</v>
      </c>
      <c r="Z31" s="5">
        <v>3.7</v>
      </c>
      <c r="AA31" s="5">
        <v>4.8520000000000003</v>
      </c>
      <c r="AB31" s="5">
        <v>4.21</v>
      </c>
      <c r="AC31" s="5">
        <v>6.625</v>
      </c>
      <c r="AD31" s="5">
        <v>0</v>
      </c>
      <c r="AE31" s="5">
        <v>4.0419999999999998</v>
      </c>
      <c r="AF31" s="5">
        <v>3.9249999999999998</v>
      </c>
      <c r="AG31" s="5">
        <v>2.8</v>
      </c>
      <c r="AH31" s="5">
        <v>0</v>
      </c>
      <c r="AI31" s="5">
        <v>6.25</v>
      </c>
      <c r="AJ31" s="5">
        <v>6.55</v>
      </c>
      <c r="AK31" s="5">
        <v>3.61</v>
      </c>
      <c r="AL31" s="5">
        <v>5.8937499999999998</v>
      </c>
      <c r="AM31" s="36">
        <v>2.9290573782125599E-3</v>
      </c>
      <c r="AN31" s="36">
        <v>1.1840214273849299E-3</v>
      </c>
      <c r="AO31" s="36">
        <v>1.28246821475215E-3</v>
      </c>
      <c r="AP31" s="36">
        <v>1.24288433706127E-3</v>
      </c>
      <c r="AQ31" s="36">
        <v>1.2077571875068901E-3</v>
      </c>
      <c r="AR31" s="36">
        <v>1.0960001663861401E-3</v>
      </c>
      <c r="AS31" s="36">
        <v>9.7925525747782102E-4</v>
      </c>
      <c r="AT31" s="36">
        <v>1.06986389991495E-3</v>
      </c>
      <c r="AU31" s="36">
        <v>9.5241190533453901E-4</v>
      </c>
      <c r="AV31" s="36">
        <v>9.3823043046618296E-4</v>
      </c>
      <c r="AW31" s="36">
        <v>9.3441537294922604E-4</v>
      </c>
      <c r="AX31" s="36">
        <v>1.02408355354732E-3</v>
      </c>
      <c r="AY31" s="36">
        <v>9.8078552437512695E-4</v>
      </c>
      <c r="AZ31" s="36">
        <v>1.06731791760077E-3</v>
      </c>
      <c r="BA31" s="36">
        <v>8.8882602218724803E-4</v>
      </c>
      <c r="BB31" s="36">
        <v>1.06452378750053E-3</v>
      </c>
      <c r="BC31" s="36">
        <v>1.0536776197029301E-3</v>
      </c>
      <c r="BD31" s="6">
        <v>4.8849999999999998</v>
      </c>
      <c r="BE31" s="6">
        <v>4.8280820000000002</v>
      </c>
      <c r="BF31" s="6">
        <v>5.5998570000000001</v>
      </c>
      <c r="BG31" s="6">
        <v>6.0072729999999996</v>
      </c>
      <c r="BH31" s="6">
        <v>5.0558059999999996</v>
      </c>
      <c r="BI31" s="6">
        <v>5.5879909999999997</v>
      </c>
      <c r="BJ31" s="6">
        <v>5.1495870000000004</v>
      </c>
      <c r="BK31" s="6">
        <v>5.5153499999999998</v>
      </c>
      <c r="BL31" s="6">
        <v>5.377694</v>
      </c>
      <c r="BM31" s="6">
        <v>5.4828809999999999</v>
      </c>
      <c r="BN31" s="6">
        <v>5.2705830000000002</v>
      </c>
      <c r="BO31" s="6">
        <v>5.5611680000000003</v>
      </c>
      <c r="BP31" s="6">
        <v>5.2401679999999997</v>
      </c>
      <c r="BQ31" s="6">
        <v>4.9477859999999998</v>
      </c>
      <c r="BR31" s="6">
        <v>5.4088240000000001</v>
      </c>
      <c r="BS31" s="6">
        <v>5.1513999999999998</v>
      </c>
      <c r="BT31" s="6">
        <v>5.107532</v>
      </c>
    </row>
    <row r="32" spans="1:72">
      <c r="A32" s="7" t="s">
        <v>303</v>
      </c>
      <c r="B32" s="1" t="s">
        <v>38</v>
      </c>
      <c r="C32" s="21">
        <v>0.48923501364454702</v>
      </c>
      <c r="D32" s="21">
        <v>2.6100593656705001E-2</v>
      </c>
      <c r="E32" s="10">
        <v>2.9507626965273579E-3</v>
      </c>
      <c r="F32" s="3">
        <v>4.2963163003195658E-3</v>
      </c>
      <c r="G32" s="3">
        <v>6.8158620689655196</v>
      </c>
      <c r="H32" s="1">
        <v>6.8133287920072796</v>
      </c>
      <c r="I32" s="3">
        <f t="shared" si="0"/>
        <v>2.5332769582400161E-3</v>
      </c>
      <c r="J32">
        <v>2</v>
      </c>
      <c r="K32">
        <v>3</v>
      </c>
      <c r="L32" s="1">
        <v>0.10787297886313101</v>
      </c>
      <c r="M32" s="4">
        <v>9.2701620974868799</v>
      </c>
      <c r="N32" s="21">
        <v>6.7736220931773303</v>
      </c>
      <c r="O32" s="21" t="s">
        <v>294</v>
      </c>
      <c r="P32" s="21">
        <v>0.48923501364454702</v>
      </c>
      <c r="Q32" s="21">
        <v>0</v>
      </c>
      <c r="R32" s="21">
        <v>0</v>
      </c>
      <c r="S32" s="21">
        <v>0</v>
      </c>
      <c r="T32">
        <v>0</v>
      </c>
      <c r="U32" s="21">
        <f t="shared" si="1"/>
        <v>6.8158620689655196</v>
      </c>
      <c r="V32" s="5">
        <v>5.35</v>
      </c>
      <c r="W32" s="5">
        <v>8.5374999999999996</v>
      </c>
      <c r="X32" s="5">
        <v>6.13</v>
      </c>
      <c r="Y32" s="5">
        <v>0</v>
      </c>
      <c r="Z32" s="5">
        <v>0</v>
      </c>
      <c r="AA32" s="5">
        <v>3.7</v>
      </c>
      <c r="AB32" s="5">
        <v>6.7750000000000004</v>
      </c>
      <c r="AC32" s="5">
        <v>6.625</v>
      </c>
      <c r="AD32" s="5">
        <v>0</v>
      </c>
      <c r="AE32" s="5">
        <v>6.625</v>
      </c>
      <c r="AF32" s="5">
        <v>7.5250000000000004</v>
      </c>
      <c r="AG32" s="5">
        <v>3.7</v>
      </c>
      <c r="AH32" s="5">
        <v>8.65</v>
      </c>
      <c r="AI32" s="5">
        <v>0</v>
      </c>
      <c r="AJ32" s="5">
        <v>0</v>
      </c>
      <c r="AK32" s="5">
        <v>8.1999999999999993</v>
      </c>
      <c r="AL32" s="5">
        <v>9.5500000000000007</v>
      </c>
      <c r="AM32" s="36">
        <v>7.7897575641948501E-3</v>
      </c>
      <c r="AN32" s="36">
        <v>3.1488764743041698E-3</v>
      </c>
      <c r="AO32" s="36">
        <v>3.4106933346595698E-3</v>
      </c>
      <c r="AP32" s="36">
        <v>3.3054209651401699E-3</v>
      </c>
      <c r="AQ32" s="36">
        <v>3.2120011567795801E-3</v>
      </c>
      <c r="AR32" s="36">
        <v>2.91478605027372E-3</v>
      </c>
      <c r="AS32" s="36">
        <v>2.6043057763076201E-3</v>
      </c>
      <c r="AT32" s="36">
        <v>2.8452772789679202E-3</v>
      </c>
      <c r="AU32" s="36">
        <v>2.5329165276838598E-3</v>
      </c>
      <c r="AV32" s="36">
        <v>2.4952012367684502E-3</v>
      </c>
      <c r="AW32" s="36">
        <v>2.4850551831705901E-3</v>
      </c>
      <c r="AX32" s="36">
        <v>2.7235255502167399E-3</v>
      </c>
      <c r="AY32" s="36">
        <v>2.6083754842714099E-3</v>
      </c>
      <c r="AZ32" s="36">
        <v>2.8385063003118802E-3</v>
      </c>
      <c r="BA32" s="36">
        <v>2.3638114026333901E-3</v>
      </c>
      <c r="BB32" s="36">
        <v>2.8310753785943301E-3</v>
      </c>
      <c r="BC32" s="36">
        <v>2.80223025651773E-3</v>
      </c>
      <c r="BD32" s="6">
        <v>6.4</v>
      </c>
      <c r="BE32" s="6">
        <v>6.340789</v>
      </c>
      <c r="BF32" s="6">
        <v>7.4471150000000002</v>
      </c>
      <c r="BG32" s="6">
        <v>7.2986360000000001</v>
      </c>
      <c r="BH32" s="6">
        <v>6.8465379999999998</v>
      </c>
      <c r="BI32" s="6">
        <v>6.4836720000000003</v>
      </c>
      <c r="BJ32" s="6">
        <v>6.4649999999999999</v>
      </c>
      <c r="BK32" s="6">
        <v>6.7275219999999996</v>
      </c>
      <c r="BL32" s="6">
        <v>6.9075259999999998</v>
      </c>
      <c r="BM32" s="6">
        <v>6.3049999999999997</v>
      </c>
      <c r="BN32" s="6">
        <v>6.9177229999999996</v>
      </c>
      <c r="BO32" s="6">
        <v>6.7404120000000001</v>
      </c>
      <c r="BP32" s="6">
        <v>7.3174630000000001</v>
      </c>
      <c r="BQ32" s="6">
        <v>7.5647060000000002</v>
      </c>
      <c r="BR32" s="6">
        <v>7.1926920000000001</v>
      </c>
      <c r="BS32" s="6">
        <v>6.5085290000000002</v>
      </c>
      <c r="BT32" s="6">
        <v>7.0794119999999996</v>
      </c>
    </row>
    <row r="33" spans="1:72">
      <c r="A33" s="7" t="s">
        <v>470</v>
      </c>
      <c r="B33" s="1" t="s">
        <v>39</v>
      </c>
      <c r="C33" s="21">
        <v>0.21684260737809499</v>
      </c>
      <c r="D33" s="21">
        <v>4.2522556957688501E-2</v>
      </c>
      <c r="E33" s="10">
        <v>1.3078603514136331E-3</v>
      </c>
      <c r="F33" s="3">
        <v>1.8857972888137488E-3</v>
      </c>
      <c r="G33" s="3">
        <v>5.7771052631578996</v>
      </c>
      <c r="H33" s="1">
        <v>5.2882296137339004</v>
      </c>
      <c r="I33" s="3">
        <f t="shared" si="0"/>
        <v>0.48887564942399919</v>
      </c>
      <c r="J33">
        <v>6</v>
      </c>
      <c r="K33">
        <v>4</v>
      </c>
      <c r="L33" s="1">
        <v>0.15548033833424399</v>
      </c>
      <c r="M33" s="4">
        <v>6.4316813991634696</v>
      </c>
      <c r="N33" s="21">
        <v>5.68537405718331</v>
      </c>
      <c r="O33" s="21" t="s">
        <v>456</v>
      </c>
      <c r="P33" s="21">
        <v>25.1752507113201</v>
      </c>
      <c r="Q33" s="21">
        <v>9.4000424985879807E-3</v>
      </c>
      <c r="R33" s="21">
        <v>0</v>
      </c>
      <c r="S33" s="21">
        <v>8.7490885269756999E-2</v>
      </c>
      <c r="T33">
        <v>0</v>
      </c>
      <c r="U33" s="21">
        <f t="shared" si="1"/>
        <v>5.7771052631578996</v>
      </c>
      <c r="V33" s="5">
        <v>0</v>
      </c>
      <c r="W33" s="5">
        <v>3.7</v>
      </c>
      <c r="X33" s="5">
        <v>3.7</v>
      </c>
      <c r="Y33" s="5">
        <v>0</v>
      </c>
      <c r="Z33" s="5">
        <v>5.5</v>
      </c>
      <c r="AA33" s="5">
        <v>6.1187500000000004</v>
      </c>
      <c r="AB33" s="5">
        <v>8.65</v>
      </c>
      <c r="AC33" s="5">
        <v>4.0599999999999996</v>
      </c>
      <c r="AD33" s="5">
        <v>3.7</v>
      </c>
      <c r="AE33" s="5">
        <v>0</v>
      </c>
      <c r="AF33" s="5">
        <v>5.5</v>
      </c>
      <c r="AG33" s="5">
        <v>0</v>
      </c>
      <c r="AH33" s="5">
        <v>0</v>
      </c>
      <c r="AI33" s="5">
        <v>3.61</v>
      </c>
      <c r="AJ33" s="5">
        <v>3.7</v>
      </c>
      <c r="AK33" s="5">
        <v>0</v>
      </c>
      <c r="AL33" s="5">
        <v>9.5500000000000007</v>
      </c>
      <c r="AM33" s="36">
        <v>3.4526378814957398E-3</v>
      </c>
      <c r="AN33" s="36">
        <v>1.3956699049666799E-3</v>
      </c>
      <c r="AO33" s="36">
        <v>1.51171444199211E-3</v>
      </c>
      <c r="AP33" s="36">
        <v>1.46505479079216E-3</v>
      </c>
      <c r="AQ33" s="36">
        <v>1.4236485253763501E-3</v>
      </c>
      <c r="AR33" s="36">
        <v>1.2919144980695599E-3</v>
      </c>
      <c r="AS33" s="36">
        <v>1.1543009784550601E-3</v>
      </c>
      <c r="AT33" s="36">
        <v>1.26110627137844E-3</v>
      </c>
      <c r="AU33" s="36">
        <v>1.12265927175255E-3</v>
      </c>
      <c r="AV33" s="36">
        <v>1.10594280258736E-3</v>
      </c>
      <c r="AW33" s="36">
        <v>1.1014457885646599E-3</v>
      </c>
      <c r="AX33" s="36">
        <v>1.2071425084038199E-3</v>
      </c>
      <c r="AY33" s="36">
        <v>1.1561047865667601E-3</v>
      </c>
      <c r="AZ33" s="36">
        <v>1.25810518473229E-3</v>
      </c>
      <c r="BA33" s="36">
        <v>1.0477071624098999E-3</v>
      </c>
      <c r="BB33" s="36">
        <v>1.25481159290931E-3</v>
      </c>
      <c r="BC33" s="36">
        <v>1.2420266300452701E-3</v>
      </c>
      <c r="BD33" s="6">
        <v>5.2210000000000001</v>
      </c>
      <c r="BE33" s="6">
        <v>4.5549999999999997</v>
      </c>
      <c r="BF33" s="6">
        <v>6.3470589999999998</v>
      </c>
      <c r="BG33" s="6">
        <v>3.9036840000000002</v>
      </c>
      <c r="BH33" s="6">
        <v>4.7164710000000003</v>
      </c>
      <c r="BI33" s="6">
        <v>4.9112499999999999</v>
      </c>
      <c r="BJ33" s="6">
        <v>5.2726920000000002</v>
      </c>
      <c r="BK33" s="6">
        <v>5.1834150000000001</v>
      </c>
      <c r="BL33" s="6">
        <v>4.9837499999999997</v>
      </c>
      <c r="BM33" s="6">
        <v>4.7477609999999997</v>
      </c>
      <c r="BN33" s="6">
        <v>5.2658589999999998</v>
      </c>
      <c r="BO33" s="6">
        <v>5.4777079999999998</v>
      </c>
      <c r="BP33" s="6">
        <v>5.7335710000000004</v>
      </c>
      <c r="BQ33" s="6">
        <v>6.2785000000000002</v>
      </c>
      <c r="BR33" s="6">
        <v>5.5183330000000002</v>
      </c>
      <c r="BS33" s="6">
        <v>6.1619349999999997</v>
      </c>
      <c r="BT33" s="6">
        <v>4.99</v>
      </c>
    </row>
    <row r="34" spans="1:72">
      <c r="A34" s="7" t="s">
        <v>305</v>
      </c>
      <c r="B34" s="1" t="s">
        <v>40</v>
      </c>
      <c r="C34" s="21">
        <v>0.15277991565148799</v>
      </c>
      <c r="D34" s="21">
        <v>7.2141731837767398E-2</v>
      </c>
      <c r="E34" s="10">
        <v>3.2659002445947858E-4</v>
      </c>
      <c r="F34" s="3">
        <v>1.0182821709797719E-3</v>
      </c>
      <c r="G34" s="3">
        <v>4.49714285714286</v>
      </c>
      <c r="H34" s="1">
        <v>4.7439641943734099</v>
      </c>
      <c r="I34" s="3">
        <f t="shared" si="0"/>
        <v>-0.24682133723054989</v>
      </c>
      <c r="J34">
        <v>7</v>
      </c>
      <c r="K34">
        <v>4</v>
      </c>
      <c r="L34" s="1">
        <v>0.123358493801174</v>
      </c>
      <c r="M34" s="4">
        <v>8.1064543606682999</v>
      </c>
      <c r="N34" s="21">
        <v>5.4488796831063899</v>
      </c>
      <c r="O34" s="21" t="s">
        <v>273</v>
      </c>
      <c r="P34" s="21">
        <v>9.7816156256183397</v>
      </c>
      <c r="Q34" s="21">
        <v>1.3938485666304399E-2</v>
      </c>
      <c r="R34" s="21">
        <v>0</v>
      </c>
      <c r="S34" s="21">
        <v>9.8411039298378605E-2</v>
      </c>
      <c r="T34">
        <v>0</v>
      </c>
      <c r="U34" s="21">
        <f t="shared" ref="U34:U65" si="2">G34+T34</f>
        <v>4.49714285714286</v>
      </c>
      <c r="V34" s="5">
        <v>3.61</v>
      </c>
      <c r="W34" s="5">
        <v>4.42</v>
      </c>
      <c r="X34" s="5">
        <v>5.95</v>
      </c>
      <c r="Y34" s="5">
        <v>0</v>
      </c>
      <c r="Z34" s="5">
        <v>0</v>
      </c>
      <c r="AA34" s="5">
        <v>3.7</v>
      </c>
      <c r="AB34" s="5">
        <v>0</v>
      </c>
      <c r="AC34" s="5">
        <v>3.7</v>
      </c>
      <c r="AD34" s="5">
        <v>0</v>
      </c>
      <c r="AE34" s="5">
        <v>0</v>
      </c>
      <c r="AF34" s="5">
        <v>0</v>
      </c>
      <c r="AG34" s="5">
        <v>4.5999999999999996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36">
        <v>1.1138616671235999E-3</v>
      </c>
      <c r="AN34" s="36">
        <v>4.5025955818655302E-4</v>
      </c>
      <c r="AO34" s="36">
        <v>4.8769689332224298E-4</v>
      </c>
      <c r="AP34" s="36">
        <v>4.7264393999877898E-4</v>
      </c>
      <c r="AQ34" s="36">
        <v>4.5928579083619197E-4</v>
      </c>
      <c r="AR34" s="36">
        <v>4.1678684124774501E-4</v>
      </c>
      <c r="AS34" s="36">
        <v>3.7239109815575698E-4</v>
      </c>
      <c r="AT34" s="36">
        <v>4.06847744267082E-4</v>
      </c>
      <c r="AU34" s="36">
        <v>3.6218311070153098E-4</v>
      </c>
      <c r="AV34" s="36">
        <v>3.5679018075873199E-4</v>
      </c>
      <c r="AW34" s="36">
        <v>3.5533939104132398E-4</v>
      </c>
      <c r="AX34" s="36">
        <v>3.89438398412044E-4</v>
      </c>
      <c r="AY34" s="36">
        <v>3.7297302790901301E-4</v>
      </c>
      <c r="AZ34" s="36">
        <v>4.0587955834964798E-4</v>
      </c>
      <c r="BA34" s="36">
        <v>3.38002676977426E-4</v>
      </c>
      <c r="BB34" s="36">
        <v>4.04817006815232E-4</v>
      </c>
      <c r="BC34" s="36">
        <v>4.0069242713481799E-4</v>
      </c>
      <c r="BD34" s="6">
        <v>5.59</v>
      </c>
      <c r="BE34" s="6">
        <v>4.7149999999999999</v>
      </c>
      <c r="BF34" s="6">
        <v>5.1110709999999999</v>
      </c>
      <c r="BG34" s="6">
        <v>4.9763640000000002</v>
      </c>
      <c r="BH34" s="6">
        <v>4.6360000000000001</v>
      </c>
      <c r="BI34" s="6">
        <v>4.6393750000000002</v>
      </c>
      <c r="BJ34" s="6">
        <v>4.4052860000000003</v>
      </c>
      <c r="BK34" s="6">
        <v>4.7827549999999999</v>
      </c>
      <c r="BL34" s="6">
        <v>5.2576000000000001</v>
      </c>
      <c r="BM34" s="6">
        <v>4.223846</v>
      </c>
      <c r="BN34" s="6">
        <v>4.6733330000000004</v>
      </c>
      <c r="BO34" s="6">
        <v>5.3621879999999997</v>
      </c>
      <c r="BP34" s="6">
        <v>4.2004000000000001</v>
      </c>
      <c r="BQ34" s="6">
        <v>3.3512499999999998</v>
      </c>
      <c r="BR34" s="6">
        <v>4.915</v>
      </c>
      <c r="BS34" s="6">
        <v>4.7718179999999997</v>
      </c>
      <c r="BT34" s="6">
        <v>5.34</v>
      </c>
    </row>
    <row r="35" spans="1:72">
      <c r="A35" s="7" t="s">
        <v>306</v>
      </c>
      <c r="B35" s="1" t="s">
        <v>41</v>
      </c>
      <c r="C35" s="21">
        <v>0.266165928941551</v>
      </c>
      <c r="D35" s="21">
        <v>1.0414989679400299E-2</v>
      </c>
      <c r="E35" s="10">
        <v>1.605348088961405E-3</v>
      </c>
      <c r="F35" s="3">
        <v>6.4971857541073312E-3</v>
      </c>
      <c r="G35" s="3">
        <v>6.0331465517241396</v>
      </c>
      <c r="H35" s="1">
        <v>6.3184487350197696</v>
      </c>
      <c r="I35" s="3">
        <f t="shared" si="0"/>
        <v>-0.28530218329562995</v>
      </c>
      <c r="J35">
        <v>7</v>
      </c>
      <c r="K35">
        <v>4</v>
      </c>
      <c r="L35" s="1">
        <v>4.4546452046509297E-2</v>
      </c>
      <c r="M35" s="4">
        <v>22.4484769057688</v>
      </c>
      <c r="N35" s="21">
        <v>6.4418591403387504</v>
      </c>
      <c r="O35" s="21" t="s">
        <v>294</v>
      </c>
      <c r="P35" s="21">
        <v>0.266165928941551</v>
      </c>
      <c r="Q35" s="21">
        <v>0</v>
      </c>
      <c r="R35" s="21">
        <v>0</v>
      </c>
      <c r="S35" s="21">
        <v>0</v>
      </c>
      <c r="T35">
        <v>0</v>
      </c>
      <c r="U35" s="21">
        <f t="shared" si="2"/>
        <v>6.0331465517241396</v>
      </c>
      <c r="V35" s="5">
        <v>4.51</v>
      </c>
      <c r="W35" s="5">
        <v>4.2220000000000004</v>
      </c>
      <c r="X35" s="5">
        <v>2.8</v>
      </c>
      <c r="Y35" s="5">
        <v>5.0274999999999999</v>
      </c>
      <c r="Z35" s="5">
        <v>0</v>
      </c>
      <c r="AA35" s="5">
        <v>5.95</v>
      </c>
      <c r="AB35" s="5">
        <v>6.2919999999999998</v>
      </c>
      <c r="AC35" s="5">
        <v>6.7937500000000002</v>
      </c>
      <c r="AD35" s="5">
        <v>2.8</v>
      </c>
      <c r="AE35" s="5">
        <v>5.8337500000000002</v>
      </c>
      <c r="AF35" s="5">
        <v>6.55</v>
      </c>
      <c r="AG35" s="5">
        <v>5.3753849999999996</v>
      </c>
      <c r="AH35" s="5">
        <v>5.1849999999999996</v>
      </c>
      <c r="AI35" s="5">
        <v>6.4</v>
      </c>
      <c r="AJ35" s="5">
        <v>6.4</v>
      </c>
      <c r="AK35" s="5">
        <v>7.516</v>
      </c>
      <c r="AL35" s="5">
        <v>6.1630000000000003</v>
      </c>
      <c r="AM35" s="36">
        <v>4.2379797039829104E-3</v>
      </c>
      <c r="AN35" s="36">
        <v>1.7131309258954701E-3</v>
      </c>
      <c r="AO35" s="36">
        <v>1.85557111497745E-3</v>
      </c>
      <c r="AP35" s="36">
        <v>1.7982981945127499E-3</v>
      </c>
      <c r="AQ35" s="36">
        <v>1.74747360228129E-3</v>
      </c>
      <c r="AR35" s="36">
        <v>1.5857751696011001E-3</v>
      </c>
      <c r="AS35" s="36">
        <v>1.41685988710201E-3</v>
      </c>
      <c r="AT35" s="36">
        <v>1.5479592607470401E-3</v>
      </c>
      <c r="AU35" s="36">
        <v>1.37802091371204E-3</v>
      </c>
      <c r="AV35" s="36">
        <v>1.35750209318237E-3</v>
      </c>
      <c r="AW35" s="36">
        <v>1.35198218208515E-3</v>
      </c>
      <c r="AX35" s="36">
        <v>1.4817208250678701E-3</v>
      </c>
      <c r="AY35" s="36">
        <v>1.4190739919197201E-3</v>
      </c>
      <c r="AZ35" s="36">
        <v>1.54427554275147E-3</v>
      </c>
      <c r="BA35" s="36">
        <v>1.28602009316052E-3</v>
      </c>
      <c r="BB35" s="36">
        <v>1.54023278594404E-3</v>
      </c>
      <c r="BC35" s="36">
        <v>1.5245397376158799E-3</v>
      </c>
      <c r="BD35" s="6">
        <v>6.1025710000000002</v>
      </c>
      <c r="BE35" s="6">
        <v>5.757701</v>
      </c>
      <c r="BF35" s="6">
        <v>6.3183259999999999</v>
      </c>
      <c r="BG35" s="6">
        <v>6.0531480000000002</v>
      </c>
      <c r="BH35" s="6">
        <v>6.2132680000000002</v>
      </c>
      <c r="BI35" s="6">
        <v>6.1656589999999998</v>
      </c>
      <c r="BJ35" s="6">
        <v>6.1323299999999996</v>
      </c>
      <c r="BK35" s="6">
        <v>6.1312470000000001</v>
      </c>
      <c r="BL35" s="6">
        <v>6.2362690000000001</v>
      </c>
      <c r="BM35" s="6">
        <v>6.3539450000000004</v>
      </c>
      <c r="BN35" s="6">
        <v>6.3895679999999997</v>
      </c>
      <c r="BO35" s="6">
        <v>6.3583980000000002</v>
      </c>
      <c r="BP35" s="6">
        <v>6.5174269999999996</v>
      </c>
      <c r="BQ35" s="6">
        <v>6.5480109999999998</v>
      </c>
      <c r="BR35" s="6">
        <v>6.6073639999999996</v>
      </c>
      <c r="BS35" s="6">
        <v>6.601953</v>
      </c>
      <c r="BT35" s="6">
        <v>6.5611100000000002</v>
      </c>
    </row>
    <row r="36" spans="1:72">
      <c r="A36" s="7" t="s">
        <v>307</v>
      </c>
      <c r="B36" s="1" t="s">
        <v>42</v>
      </c>
      <c r="C36" s="21">
        <v>0.33733467028712999</v>
      </c>
      <c r="D36" s="21">
        <v>8.5810692703332508E-3</v>
      </c>
      <c r="E36" s="10">
        <v>2.0345938732255612E-3</v>
      </c>
      <c r="F36" s="3">
        <v>2.7026523109308202E-2</v>
      </c>
      <c r="G36" s="3">
        <v>8.2033687943262805</v>
      </c>
      <c r="H36" s="1">
        <v>7.9921932283816099</v>
      </c>
      <c r="I36" s="3">
        <f t="shared" si="0"/>
        <v>0.21117556594467057</v>
      </c>
      <c r="J36">
        <v>5</v>
      </c>
      <c r="K36">
        <v>3</v>
      </c>
      <c r="L36" s="1">
        <v>8.0484169058641197E-2</v>
      </c>
      <c r="M36" s="4">
        <v>12.424803681223301</v>
      </c>
      <c r="N36" s="21">
        <v>6.8704287387282603</v>
      </c>
      <c r="O36" s="21" t="s">
        <v>294</v>
      </c>
      <c r="P36" s="21">
        <v>0.33733467028712999</v>
      </c>
      <c r="Q36" s="21">
        <v>0</v>
      </c>
      <c r="R36" s="21">
        <v>0</v>
      </c>
      <c r="S36" s="21">
        <v>0</v>
      </c>
      <c r="T36">
        <v>0</v>
      </c>
      <c r="U36" s="21">
        <f t="shared" si="2"/>
        <v>8.2033687943262805</v>
      </c>
      <c r="V36" s="5">
        <v>8.9380000000000006</v>
      </c>
      <c r="W36" s="5">
        <v>8.65</v>
      </c>
      <c r="X36" s="5">
        <v>9.0738889999999994</v>
      </c>
      <c r="Y36" s="5">
        <v>9.1692309999999999</v>
      </c>
      <c r="Z36" s="5">
        <v>9.2390910000000002</v>
      </c>
      <c r="AA36" s="5">
        <v>8.1174999999999997</v>
      </c>
      <c r="AB36" s="5">
        <v>8.3028569999999995</v>
      </c>
      <c r="AC36" s="5">
        <v>8.6999999999999993</v>
      </c>
      <c r="AD36" s="5">
        <v>8.56</v>
      </c>
      <c r="AE36" s="5">
        <v>7.8595649999999999</v>
      </c>
      <c r="AF36" s="5">
        <v>6.7725999999999997</v>
      </c>
      <c r="AG36" s="5">
        <v>6.6886359999999998</v>
      </c>
      <c r="AH36" s="5">
        <v>8.5060000000000002</v>
      </c>
      <c r="AI36" s="5">
        <v>8.7904</v>
      </c>
      <c r="AJ36" s="5">
        <v>7.2925000000000004</v>
      </c>
      <c r="AK36" s="5">
        <v>8.4785710000000005</v>
      </c>
      <c r="AL36" s="5">
        <v>7.8624999999999998</v>
      </c>
      <c r="AM36" s="36">
        <v>5.3711513408636301E-3</v>
      </c>
      <c r="AN36" s="36">
        <v>2.1711962096115501E-3</v>
      </c>
      <c r="AO36" s="36">
        <v>2.3517227496187001E-3</v>
      </c>
      <c r="AP36" s="36">
        <v>2.2791359169682299E-3</v>
      </c>
      <c r="AQ36" s="36">
        <v>2.2147215979340098E-3</v>
      </c>
      <c r="AR36" s="36">
        <v>2.0097874514373899E-3</v>
      </c>
      <c r="AS36" s="36">
        <v>1.7957067786973399E-3</v>
      </c>
      <c r="AT36" s="36">
        <v>1.9618601408472598E-3</v>
      </c>
      <c r="AU36" s="36">
        <v>1.74648285159706E-3</v>
      </c>
      <c r="AV36" s="36">
        <v>1.72047760898175E-3</v>
      </c>
      <c r="AW36" s="36">
        <v>1.7134817571933499E-3</v>
      </c>
      <c r="AX36" s="36">
        <v>1.87791054989463E-3</v>
      </c>
      <c r="AY36" s="36">
        <v>1.79851290163589E-3</v>
      </c>
      <c r="AZ36" s="36">
        <v>1.95719145240765E-3</v>
      </c>
      <c r="BA36" s="36">
        <v>1.6298824039353E-3</v>
      </c>
      <c r="BB36" s="36">
        <v>1.9520677236114601E-3</v>
      </c>
      <c r="BC36" s="36">
        <v>1.9321785916529401E-3</v>
      </c>
      <c r="BD36" s="6">
        <v>8.062208</v>
      </c>
      <c r="BE36" s="6">
        <v>8.3053270000000001</v>
      </c>
      <c r="BF36" s="6">
        <v>8.2131439999999998</v>
      </c>
      <c r="BG36" s="6">
        <v>7.7338209999999998</v>
      </c>
      <c r="BH36" s="6">
        <v>7.8813069999999996</v>
      </c>
      <c r="BI36" s="6">
        <v>8.0544569999999993</v>
      </c>
      <c r="BJ36" s="6">
        <v>7.9658860000000002</v>
      </c>
      <c r="BK36" s="6">
        <v>7.7645730000000004</v>
      </c>
      <c r="BL36" s="6">
        <v>7.8657209999999997</v>
      </c>
      <c r="BM36" s="6">
        <v>7.9033740000000003</v>
      </c>
      <c r="BN36" s="6">
        <v>7.8883239999999999</v>
      </c>
      <c r="BO36" s="6">
        <v>7.8109349999999997</v>
      </c>
      <c r="BP36" s="6">
        <v>8.1146709999999995</v>
      </c>
      <c r="BQ36" s="6">
        <v>8.3017289999999999</v>
      </c>
      <c r="BR36" s="6">
        <v>8.0904980000000002</v>
      </c>
      <c r="BS36" s="6">
        <v>8.1347719999999999</v>
      </c>
      <c r="BT36" s="6">
        <v>8.1270089999999993</v>
      </c>
    </row>
    <row r="37" spans="1:72">
      <c r="A37" s="7" t="s">
        <v>308</v>
      </c>
      <c r="B37" s="1" t="s">
        <v>43</v>
      </c>
      <c r="C37" s="21">
        <v>0.35251704208816498</v>
      </c>
      <c r="D37" s="21">
        <v>1.00873861409231E-2</v>
      </c>
      <c r="E37" s="10">
        <v>2.1261645398905839E-3</v>
      </c>
      <c r="F37" s="3">
        <v>1.3010596870922118E-2</v>
      </c>
      <c r="G37" s="3">
        <v>6.7608585858585801</v>
      </c>
      <c r="H37" s="1">
        <v>6.8412689257144299</v>
      </c>
      <c r="I37" s="3">
        <f t="shared" si="0"/>
        <v>-8.0410339855849777E-2</v>
      </c>
      <c r="J37">
        <v>4</v>
      </c>
      <c r="K37">
        <v>1</v>
      </c>
      <c r="L37" s="1">
        <v>6.1275014779545701E-2</v>
      </c>
      <c r="M37" s="4">
        <v>16.3198655046887</v>
      </c>
      <c r="N37" s="21">
        <v>6.8024796427262499</v>
      </c>
      <c r="O37" s="21" t="s">
        <v>294</v>
      </c>
      <c r="P37" s="21">
        <v>0.35251704208816498</v>
      </c>
      <c r="Q37" s="21">
        <v>0</v>
      </c>
      <c r="R37" s="21">
        <v>0</v>
      </c>
      <c r="S37" s="21">
        <v>0</v>
      </c>
      <c r="T37">
        <v>0</v>
      </c>
      <c r="U37" s="21">
        <f t="shared" si="2"/>
        <v>6.7608585858585801</v>
      </c>
      <c r="V37" s="5">
        <v>7.3</v>
      </c>
      <c r="W37" s="5">
        <v>7.251538</v>
      </c>
      <c r="X37" s="5">
        <v>8.65</v>
      </c>
      <c r="Y37" s="5">
        <v>7.03</v>
      </c>
      <c r="Z37" s="5">
        <v>9.4</v>
      </c>
      <c r="AA37" s="5">
        <v>6.1660000000000004</v>
      </c>
      <c r="AB37" s="5">
        <v>5.86</v>
      </c>
      <c r="AC37" s="5">
        <v>7.7021879999999996</v>
      </c>
      <c r="AD37" s="5">
        <v>6.2919999999999998</v>
      </c>
      <c r="AE37" s="5">
        <v>7.3378949999999996</v>
      </c>
      <c r="AF37" s="5">
        <v>6.7323079999999997</v>
      </c>
      <c r="AG37" s="5">
        <v>5.835</v>
      </c>
      <c r="AH37" s="5">
        <v>6.8673330000000004</v>
      </c>
      <c r="AI37" s="5">
        <v>6.49</v>
      </c>
      <c r="AJ37" s="5">
        <v>3.4942859999999998</v>
      </c>
      <c r="AK37" s="5">
        <v>6.7214289999999997</v>
      </c>
      <c r="AL37" s="5">
        <v>7.8142860000000001</v>
      </c>
      <c r="AM37" s="36">
        <v>5.6128899578495699E-3</v>
      </c>
      <c r="AN37" s="36">
        <v>2.2689149175026302E-3</v>
      </c>
      <c r="AO37" s="36">
        <v>2.4575663888962E-3</v>
      </c>
      <c r="AP37" s="36">
        <v>2.38171265136393E-3</v>
      </c>
      <c r="AQ37" s="36">
        <v>2.3143992465640599E-3</v>
      </c>
      <c r="AR37" s="36">
        <v>2.1002416591320901E-3</v>
      </c>
      <c r="AS37" s="36">
        <v>1.87652588909775E-3</v>
      </c>
      <c r="AT37" s="36">
        <v>2.05015729113609E-3</v>
      </c>
      <c r="AU37" s="36">
        <v>1.8250865479633701E-3</v>
      </c>
      <c r="AV37" s="36">
        <v>1.7979108912254101E-3</v>
      </c>
      <c r="AW37" s="36">
        <v>1.7906001781663799E-3</v>
      </c>
      <c r="AX37" s="36">
        <v>1.9624293933130001E-3</v>
      </c>
      <c r="AY37" s="36">
        <v>1.87945830679793E-3</v>
      </c>
      <c r="AZ37" s="36">
        <v>2.04527847972378E-3</v>
      </c>
      <c r="BA37" s="36">
        <v>1.7032382811341901E-3</v>
      </c>
      <c r="BB37" s="36">
        <v>2.0399241480206099E-3</v>
      </c>
      <c r="BC37" s="36">
        <v>2.0191398688306E-3</v>
      </c>
      <c r="BD37" s="6">
        <v>7.0148149999999996</v>
      </c>
      <c r="BE37" s="6">
        <v>7.1530849999999999</v>
      </c>
      <c r="BF37" s="6">
        <v>6.8906049999999999</v>
      </c>
      <c r="BG37" s="6">
        <v>6.7986339999999998</v>
      </c>
      <c r="BH37" s="6">
        <v>6.7211610000000004</v>
      </c>
      <c r="BI37" s="6">
        <v>6.642055</v>
      </c>
      <c r="BJ37" s="6">
        <v>6.9558819999999999</v>
      </c>
      <c r="BK37" s="6">
        <v>6.6773160000000003</v>
      </c>
      <c r="BL37" s="6">
        <v>6.6288780000000003</v>
      </c>
      <c r="BM37" s="6">
        <v>6.7114900000000004</v>
      </c>
      <c r="BN37" s="6">
        <v>6.6290430000000002</v>
      </c>
      <c r="BO37" s="6">
        <v>6.7976390000000002</v>
      </c>
      <c r="BP37" s="6">
        <v>6.7926320000000002</v>
      </c>
      <c r="BQ37" s="6">
        <v>7.4647889999999997</v>
      </c>
      <c r="BR37" s="6">
        <v>6.693333</v>
      </c>
      <c r="BS37" s="6">
        <v>7.059552</v>
      </c>
      <c r="BT37" s="6">
        <v>7.1336519999999997</v>
      </c>
    </row>
    <row r="38" spans="1:72">
      <c r="A38" s="7" t="s">
        <v>309</v>
      </c>
      <c r="B38" s="1" t="s">
        <v>44</v>
      </c>
      <c r="C38" s="21">
        <v>0.224682718958268</v>
      </c>
      <c r="D38" s="21">
        <v>3.1837505522249301E-2</v>
      </c>
      <c r="E38" s="10">
        <v>1.3551470503255689E-3</v>
      </c>
      <c r="F38" s="3">
        <v>2.9870829217866486E-3</v>
      </c>
      <c r="G38" s="3">
        <v>6.9741999999999997</v>
      </c>
      <c r="H38" s="1">
        <v>6.8621438082556701</v>
      </c>
      <c r="I38" s="3">
        <f t="shared" si="0"/>
        <v>0.11205619174432968</v>
      </c>
      <c r="J38">
        <v>6</v>
      </c>
      <c r="K38">
        <v>4</v>
      </c>
      <c r="L38" s="1">
        <v>0.16758922344619101</v>
      </c>
      <c r="M38" s="4">
        <v>5.9669707839005302</v>
      </c>
      <c r="N38" s="21">
        <v>7.2246386823503697</v>
      </c>
      <c r="O38" s="21" t="s">
        <v>456</v>
      </c>
      <c r="P38" s="21">
        <v>46.138326232556999</v>
      </c>
      <c r="Q38" s="21">
        <v>5.0583676650410398E-3</v>
      </c>
      <c r="R38" s="21">
        <v>0</v>
      </c>
      <c r="S38" s="21">
        <v>3.6904858697927902E-2</v>
      </c>
      <c r="T38">
        <v>0</v>
      </c>
      <c r="U38" s="21">
        <f t="shared" si="2"/>
        <v>6.9741999999999997</v>
      </c>
      <c r="V38" s="5">
        <v>3.7</v>
      </c>
      <c r="W38" s="5">
        <v>9.5500000000000007</v>
      </c>
      <c r="X38" s="5">
        <v>9.5500000000000007</v>
      </c>
      <c r="Y38" s="5">
        <v>0</v>
      </c>
      <c r="Z38" s="5">
        <v>5.2750000000000004</v>
      </c>
      <c r="AA38" s="5">
        <v>2.8</v>
      </c>
      <c r="AB38" s="5">
        <v>4.5999999999999996</v>
      </c>
      <c r="AC38" s="5">
        <v>4.87</v>
      </c>
      <c r="AD38" s="5">
        <v>0</v>
      </c>
      <c r="AE38" s="5">
        <v>0</v>
      </c>
      <c r="AF38" s="5">
        <v>2.71</v>
      </c>
      <c r="AG38" s="5">
        <v>7.4124999999999996</v>
      </c>
      <c r="AH38" s="5">
        <v>0</v>
      </c>
      <c r="AI38" s="5">
        <v>8.3125</v>
      </c>
      <c r="AJ38" s="5">
        <v>8.5</v>
      </c>
      <c r="AK38" s="5">
        <v>0</v>
      </c>
      <c r="AL38" s="5">
        <v>6.625</v>
      </c>
      <c r="AM38" s="36">
        <v>3.5774706648871498E-3</v>
      </c>
      <c r="AN38" s="36">
        <v>1.4461314259580299E-3</v>
      </c>
      <c r="AO38" s="36">
        <v>1.56637164264969E-3</v>
      </c>
      <c r="AP38" s="36">
        <v>1.5180249758022101E-3</v>
      </c>
      <c r="AQ38" s="36">
        <v>1.47512163495042E-3</v>
      </c>
      <c r="AR38" s="36">
        <v>1.3386246623651201E-3</v>
      </c>
      <c r="AS38" s="36">
        <v>1.19603561989668E-3</v>
      </c>
      <c r="AT38" s="36">
        <v>1.3067025404955299E-3</v>
      </c>
      <c r="AU38" s="36">
        <v>1.16324988290356E-3</v>
      </c>
      <c r="AV38" s="36">
        <v>1.14592901691311E-3</v>
      </c>
      <c r="AW38" s="36">
        <v>1.14126940988277E-3</v>
      </c>
      <c r="AX38" s="36">
        <v>1.2507876760832299E-3</v>
      </c>
      <c r="AY38" s="36">
        <v>1.1979046460807599E-3</v>
      </c>
      <c r="AZ38" s="36">
        <v>1.3035929472488899E-3</v>
      </c>
      <c r="BA38" s="36">
        <v>1.08558782228555E-3</v>
      </c>
      <c r="BB38" s="36">
        <v>1.3001802730753301E-3</v>
      </c>
      <c r="BC38" s="36">
        <v>1.2869330600261801E-3</v>
      </c>
      <c r="BD38" s="6">
        <v>6.94</v>
      </c>
      <c r="BE38" s="6">
        <v>6.9085000000000001</v>
      </c>
      <c r="BF38" s="6">
        <v>7.0518919999999996</v>
      </c>
      <c r="BG38" s="6">
        <v>8.75</v>
      </c>
      <c r="BH38" s="6">
        <v>6.5953569999999999</v>
      </c>
      <c r="BI38" s="6">
        <v>5.8367649999999998</v>
      </c>
      <c r="BJ38" s="6">
        <v>6.7843439999999999</v>
      </c>
      <c r="BK38" s="6">
        <v>6.2977780000000001</v>
      </c>
      <c r="BL38" s="6">
        <v>7.1375000000000002</v>
      </c>
      <c r="BM38" s="6">
        <v>6.7591960000000002</v>
      </c>
      <c r="BN38" s="6">
        <v>6.5504920000000002</v>
      </c>
      <c r="BO38" s="6">
        <v>6.5864289999999999</v>
      </c>
      <c r="BP38" s="6">
        <v>7.1056410000000003</v>
      </c>
      <c r="BQ38" s="6">
        <v>6.9542109999999999</v>
      </c>
      <c r="BR38" s="6">
        <v>7.2705169999999999</v>
      </c>
      <c r="BS38" s="6">
        <v>7.151154</v>
      </c>
      <c r="BT38" s="6">
        <v>6.9192309999999999</v>
      </c>
    </row>
    <row r="39" spans="1:72">
      <c r="A39" s="7" t="s">
        <v>472</v>
      </c>
      <c r="B39" s="1" t="s">
        <v>45</v>
      </c>
      <c r="C39" s="21">
        <v>0.213576870694763</v>
      </c>
      <c r="D39" s="21">
        <v>1.0324529344759199E-2</v>
      </c>
      <c r="E39" s="10">
        <v>1.2881634496933929E-3</v>
      </c>
      <c r="F39" s="3">
        <v>8.6711932912776363E-3</v>
      </c>
      <c r="G39" s="3">
        <v>5.7688270142180098</v>
      </c>
      <c r="H39" s="1">
        <v>6.3910443322110098</v>
      </c>
      <c r="I39" s="3">
        <f t="shared" si="0"/>
        <v>-0.62221731799299995</v>
      </c>
      <c r="J39">
        <v>8</v>
      </c>
      <c r="K39">
        <v>2</v>
      </c>
      <c r="L39" s="1">
        <v>6.6754373194201605E-2</v>
      </c>
      <c r="M39" s="4">
        <v>14.980291959162001</v>
      </c>
      <c r="N39" s="21">
        <v>6.4495691216295601</v>
      </c>
      <c r="O39" s="21" t="s">
        <v>273</v>
      </c>
      <c r="P39" s="21">
        <v>40.371017729586399</v>
      </c>
      <c r="Q39" s="21">
        <v>5.2866359615513104E-3</v>
      </c>
      <c r="R39" s="21">
        <v>0</v>
      </c>
      <c r="S39" s="21">
        <v>2.7942283702671702E-4</v>
      </c>
      <c r="T39">
        <v>0</v>
      </c>
      <c r="U39" s="21">
        <f t="shared" si="2"/>
        <v>5.7688270142180098</v>
      </c>
      <c r="V39" s="5">
        <v>5.9649999999999999</v>
      </c>
      <c r="W39" s="5">
        <v>4.8372729999999997</v>
      </c>
      <c r="X39" s="5">
        <v>5.593</v>
      </c>
      <c r="Y39" s="5">
        <v>5.59</v>
      </c>
      <c r="Z39" s="5">
        <v>4.6539999999999999</v>
      </c>
      <c r="AA39" s="5">
        <v>4.8981250000000003</v>
      </c>
      <c r="AB39" s="5">
        <v>5.1268750000000001</v>
      </c>
      <c r="AC39" s="5">
        <v>4.7521430000000002</v>
      </c>
      <c r="AD39" s="5">
        <v>7.5460710000000004</v>
      </c>
      <c r="AE39" s="5">
        <v>5.3292859999999997</v>
      </c>
      <c r="AF39" s="5">
        <v>5.8921429999999999</v>
      </c>
      <c r="AG39" s="5">
        <v>6.3866670000000001</v>
      </c>
      <c r="AH39" s="5">
        <v>5.7249999999999996</v>
      </c>
      <c r="AI39" s="5">
        <v>6.9625000000000004</v>
      </c>
      <c r="AJ39" s="5">
        <v>6.4642860000000004</v>
      </c>
      <c r="AK39" s="5">
        <v>6.8984620000000003</v>
      </c>
      <c r="AL39" s="5">
        <v>6.3925000000000001</v>
      </c>
      <c r="AM39" s="36">
        <v>3.4006397695001498E-3</v>
      </c>
      <c r="AN39" s="36">
        <v>1.37465055613306E-3</v>
      </c>
      <c r="AO39" s="36">
        <v>1.4889474158636699E-3</v>
      </c>
      <c r="AP39" s="36">
        <v>1.4429904777347299E-3</v>
      </c>
      <c r="AQ39" s="36">
        <v>1.40220780729189E-3</v>
      </c>
      <c r="AR39" s="36">
        <v>1.27245774729955E-3</v>
      </c>
      <c r="AS39" s="36">
        <v>1.13691674251303E-3</v>
      </c>
      <c r="AT39" s="36">
        <v>1.24211350486535E-3</v>
      </c>
      <c r="AU39" s="36">
        <v>1.10575157261088E-3</v>
      </c>
      <c r="AV39" s="36">
        <v>1.08928686017942E-3</v>
      </c>
      <c r="AW39" s="36">
        <v>1.0848575729925001E-3</v>
      </c>
      <c r="AX39" s="36">
        <v>1.1889624578161201E-3</v>
      </c>
      <c r="AY39" s="36">
        <v>1.1386933845507099E-3</v>
      </c>
      <c r="AZ39" s="36">
        <v>1.23915761578839E-3</v>
      </c>
      <c r="BA39" s="36">
        <v>1.0319282721122599E-3</v>
      </c>
      <c r="BB39" s="36">
        <v>1.2359136267799499E-3</v>
      </c>
      <c r="BC39" s="36">
        <v>1.22332121058709E-3</v>
      </c>
      <c r="BD39" s="6">
        <v>6.1757739999999997</v>
      </c>
      <c r="BE39" s="6">
        <v>5.9469139999999996</v>
      </c>
      <c r="BF39" s="6">
        <v>6.3863399999999997</v>
      </c>
      <c r="BG39" s="6">
        <v>6.5757969999999997</v>
      </c>
      <c r="BH39" s="6">
        <v>6.1648860000000001</v>
      </c>
      <c r="BI39" s="6">
        <v>6.3363820000000004</v>
      </c>
      <c r="BJ39" s="6">
        <v>6.5020569999999998</v>
      </c>
      <c r="BK39" s="6">
        <v>6.4998519999999997</v>
      </c>
      <c r="BL39" s="6">
        <v>6.5391820000000003</v>
      </c>
      <c r="BM39" s="6">
        <v>6.2489319999999999</v>
      </c>
      <c r="BN39" s="6">
        <v>6.6807689999999997</v>
      </c>
      <c r="BO39" s="6">
        <v>6.5318189999999996</v>
      </c>
      <c r="BP39" s="6">
        <v>6.1151989999999996</v>
      </c>
      <c r="BQ39" s="6">
        <v>6.2273110000000003</v>
      </c>
      <c r="BR39" s="6">
        <v>6.5103489999999997</v>
      </c>
      <c r="BS39" s="6">
        <v>5.897011</v>
      </c>
      <c r="BT39" s="6">
        <v>6.5188119999999996</v>
      </c>
    </row>
    <row r="40" spans="1:72">
      <c r="A40" s="7" t="s">
        <v>311</v>
      </c>
      <c r="B40" s="1" t="s">
        <v>46</v>
      </c>
      <c r="C40" s="21">
        <v>0.53306913003756096</v>
      </c>
      <c r="D40" s="21">
        <v>1.55089977674072E-2</v>
      </c>
      <c r="E40" s="10">
        <v>3.2151429470826031E-3</v>
      </c>
      <c r="F40" s="3">
        <v>2.4763559332799851E-2</v>
      </c>
      <c r="G40" s="3">
        <v>8.3393705035971202</v>
      </c>
      <c r="H40" s="1">
        <v>8.5225689981107298</v>
      </c>
      <c r="I40" s="3">
        <f t="shared" si="0"/>
        <v>-0.18319849451360959</v>
      </c>
      <c r="J40">
        <v>4</v>
      </c>
      <c r="K40">
        <v>1</v>
      </c>
      <c r="L40" s="1">
        <v>5.4698603736389698E-2</v>
      </c>
      <c r="M40" s="4">
        <v>18.282002312514699</v>
      </c>
      <c r="N40" s="21">
        <v>7.1181111268926403</v>
      </c>
      <c r="O40" s="21" t="s">
        <v>294</v>
      </c>
      <c r="P40" s="21">
        <v>0.53306913003756096</v>
      </c>
      <c r="Q40" s="21">
        <v>0</v>
      </c>
      <c r="R40" s="21">
        <v>0</v>
      </c>
      <c r="S40" s="21">
        <v>0</v>
      </c>
      <c r="T40">
        <v>0</v>
      </c>
      <c r="U40" s="21">
        <f t="shared" si="2"/>
        <v>8.3393705035971202</v>
      </c>
      <c r="V40" s="5">
        <v>8.5779999999999994</v>
      </c>
      <c r="W40" s="5">
        <v>8.4700000000000006</v>
      </c>
      <c r="X40" s="5">
        <v>8.2207690000000007</v>
      </c>
      <c r="Y40" s="5">
        <v>7.5250000000000004</v>
      </c>
      <c r="Z40" s="5">
        <v>6.6924999999999999</v>
      </c>
      <c r="AA40" s="5">
        <v>6.7869999999999999</v>
      </c>
      <c r="AB40" s="5">
        <v>7.86</v>
      </c>
      <c r="AC40" s="5">
        <v>8.4390630000000009</v>
      </c>
      <c r="AD40" s="5">
        <v>9.0142860000000002</v>
      </c>
      <c r="AE40" s="5">
        <v>8.5441179999999992</v>
      </c>
      <c r="AF40" s="5">
        <v>8.2128569999999996</v>
      </c>
      <c r="AG40" s="5">
        <v>8.3419229999999995</v>
      </c>
      <c r="AH40" s="5">
        <v>8.35</v>
      </c>
      <c r="AI40" s="5">
        <v>8.5696429999999992</v>
      </c>
      <c r="AJ40" s="5">
        <v>8.5070589999999999</v>
      </c>
      <c r="AK40" s="5">
        <v>8.9546150000000004</v>
      </c>
      <c r="AL40" s="5">
        <v>8.9559999999999995</v>
      </c>
      <c r="AM40" s="36">
        <v>8.4876984928266702E-3</v>
      </c>
      <c r="AN40" s="36">
        <v>3.4310071763846098E-3</v>
      </c>
      <c r="AO40" s="36">
        <v>3.71628210987542E-3</v>
      </c>
      <c r="AP40" s="36">
        <v>3.6015776245634399E-3</v>
      </c>
      <c r="AQ40" s="36">
        <v>3.4997876574061801E-3</v>
      </c>
      <c r="AR40" s="36">
        <v>3.1759428919245899E-3</v>
      </c>
      <c r="AS40" s="36">
        <v>2.8376444363337099E-3</v>
      </c>
      <c r="AT40" s="36">
        <v>3.1002063252100801E-3</v>
      </c>
      <c r="AU40" s="36">
        <v>2.7598589066873199E-3</v>
      </c>
      <c r="AV40" s="36">
        <v>2.7187644290708802E-3</v>
      </c>
      <c r="AW40" s="36">
        <v>2.7077093168775901E-3</v>
      </c>
      <c r="AX40" s="36">
        <v>2.9675459752435702E-3</v>
      </c>
      <c r="AY40" s="36">
        <v>2.8420787789773501E-3</v>
      </c>
      <c r="AZ40" s="36">
        <v>3.0928286854234499E-3</v>
      </c>
      <c r="BA40" s="36">
        <v>2.5756024258929201E-3</v>
      </c>
      <c r="BB40" s="36">
        <v>3.0847319734856899E-3</v>
      </c>
      <c r="BC40" s="36">
        <v>3.0533024075258498E-3</v>
      </c>
      <c r="BD40" s="6">
        <v>8.7749819999999996</v>
      </c>
      <c r="BE40" s="6">
        <v>8.7017070000000007</v>
      </c>
      <c r="BF40" s="6">
        <v>8.7625530000000005</v>
      </c>
      <c r="BG40" s="6">
        <v>8.7588010000000001</v>
      </c>
      <c r="BH40" s="6">
        <v>8.6280640000000002</v>
      </c>
      <c r="BI40" s="6">
        <v>8.3923900000000007</v>
      </c>
      <c r="BJ40" s="6">
        <v>8.3172169999999994</v>
      </c>
      <c r="BK40" s="6">
        <v>8.5236269999999994</v>
      </c>
      <c r="BL40" s="6">
        <v>8.2988630000000008</v>
      </c>
      <c r="BM40" s="6">
        <v>8.4246040000000004</v>
      </c>
      <c r="BN40" s="6">
        <v>8.6270579999999999</v>
      </c>
      <c r="BO40" s="6">
        <v>8.3960989999999995</v>
      </c>
      <c r="BP40" s="6">
        <v>8.5776179999999993</v>
      </c>
      <c r="BQ40" s="6">
        <v>8.6779899999999994</v>
      </c>
      <c r="BR40" s="6">
        <v>8.5191999999999997</v>
      </c>
      <c r="BS40" s="6">
        <v>8.6869669999999992</v>
      </c>
      <c r="BT40" s="6">
        <v>8.4942659999999997</v>
      </c>
    </row>
    <row r="41" spans="1:72">
      <c r="A41" s="7" t="s">
        <v>312</v>
      </c>
      <c r="B41" s="1" t="s">
        <v>47</v>
      </c>
      <c r="C41" s="21">
        <v>0.47542098523413001</v>
      </c>
      <c r="D41" s="21">
        <v>5.1943533883591402E-2</v>
      </c>
      <c r="E41" s="10">
        <v>3.4689315509233249E-3</v>
      </c>
      <c r="F41" s="3">
        <v>1.4083500979719138E-3</v>
      </c>
      <c r="G41" s="3">
        <v>4.9115384615384601</v>
      </c>
      <c r="H41" s="1">
        <v>5.3615173116089601</v>
      </c>
      <c r="I41" s="3">
        <f t="shared" si="0"/>
        <v>-0.44997885007049998</v>
      </c>
      <c r="J41">
        <v>3</v>
      </c>
      <c r="K41">
        <v>2</v>
      </c>
      <c r="L41" s="1">
        <v>9.4927250813925695E-2</v>
      </c>
      <c r="M41" s="4">
        <v>10.534382818693199</v>
      </c>
      <c r="N41" s="21">
        <v>6.6219798289607796</v>
      </c>
      <c r="O41" s="21" t="s">
        <v>456</v>
      </c>
      <c r="P41" s="21">
        <v>75.073489240050094</v>
      </c>
      <c r="Q41" s="21">
        <v>6.4843476487661204E-3</v>
      </c>
      <c r="R41" s="21">
        <v>0</v>
      </c>
      <c r="S41" s="21">
        <v>1.5708046962262599E-2</v>
      </c>
      <c r="T41">
        <v>3.1043435736486402</v>
      </c>
      <c r="U41" s="21">
        <f t="shared" si="2"/>
        <v>8.0158820351871007</v>
      </c>
      <c r="V41" s="5">
        <v>9.5500000000000007</v>
      </c>
      <c r="W41" s="5">
        <v>0</v>
      </c>
      <c r="X41" s="5">
        <v>3.7</v>
      </c>
      <c r="Y41" s="5">
        <v>3.61</v>
      </c>
      <c r="Z41" s="5">
        <v>9.5500000000000007</v>
      </c>
      <c r="AA41" s="5">
        <v>3.61</v>
      </c>
      <c r="AB41" s="5">
        <v>3.61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5.5</v>
      </c>
      <c r="AL41" s="5">
        <v>4.5999999999999996</v>
      </c>
      <c r="AM41" s="36">
        <v>9.2613810155464504E-3</v>
      </c>
      <c r="AN41" s="36">
        <v>3.7437551244813099E-3</v>
      </c>
      <c r="AO41" s="36">
        <v>4.05503383631066E-3</v>
      </c>
      <c r="AP41" s="36">
        <v>3.9298736478845199E-3</v>
      </c>
      <c r="AQ41" s="36">
        <v>3.8188051797715199E-3</v>
      </c>
      <c r="AR41" s="36">
        <v>3.4654408648691799E-3</v>
      </c>
      <c r="AS41" s="36">
        <v>3.09630535695193E-3</v>
      </c>
      <c r="AT41" s="36">
        <v>3.3828006530679301E-3</v>
      </c>
      <c r="AU41" s="36">
        <v>3.0114294122938899E-3</v>
      </c>
      <c r="AV41" s="36">
        <v>2.9665890335784698E-3</v>
      </c>
      <c r="AW41" s="36">
        <v>2.95452621039051E-3</v>
      </c>
      <c r="AX41" s="36">
        <v>3.2380478619863399E-3</v>
      </c>
      <c r="AY41" s="36">
        <v>3.10114390497658E-3</v>
      </c>
      <c r="AZ41" s="36">
        <v>3.3747505163769002E-3</v>
      </c>
      <c r="BA41" s="36">
        <v>2.81037732795525E-3</v>
      </c>
      <c r="BB41" s="36">
        <v>3.3659157616678201E-3</v>
      </c>
      <c r="BC41" s="36">
        <v>3.3316212841067601E-3</v>
      </c>
      <c r="BD41" s="6">
        <v>5.3019999999999996</v>
      </c>
      <c r="BE41" s="6">
        <v>5.9459090000000003</v>
      </c>
      <c r="BF41" s="6">
        <v>5.3746429999999998</v>
      </c>
      <c r="BG41" s="6">
        <v>5.4055</v>
      </c>
      <c r="BH41" s="6">
        <v>5.7249999999999996</v>
      </c>
      <c r="BI41" s="6">
        <v>5.0846429999999998</v>
      </c>
      <c r="BJ41" s="6">
        <v>5.5102270000000004</v>
      </c>
      <c r="BK41" s="6">
        <v>5.2473470000000004</v>
      </c>
      <c r="BL41" s="6">
        <v>4.915</v>
      </c>
      <c r="BM41" s="6">
        <v>5.0864289999999999</v>
      </c>
      <c r="BN41" s="6">
        <v>5.2054289999999996</v>
      </c>
      <c r="BO41" s="6">
        <v>5.3404550000000004</v>
      </c>
      <c r="BP41" s="6">
        <v>6.3658619999999999</v>
      </c>
      <c r="BQ41" s="6">
        <v>5.9235290000000003</v>
      </c>
      <c r="BR41" s="6">
        <v>5.4219999999999997</v>
      </c>
      <c r="BS41" s="6">
        <v>5.274286</v>
      </c>
      <c r="BT41" s="6">
        <v>4.9728570000000003</v>
      </c>
    </row>
    <row r="42" spans="1:72">
      <c r="A42" s="7" t="s">
        <v>313</v>
      </c>
      <c r="B42" s="1" t="s">
        <v>48</v>
      </c>
      <c r="C42" s="21">
        <v>0.31915287218514599</v>
      </c>
      <c r="D42" s="21">
        <v>1.6033822691247201E-2</v>
      </c>
      <c r="E42" s="10">
        <v>1.924932524182981E-3</v>
      </c>
      <c r="F42" s="3">
        <v>3.7902850410558631E-3</v>
      </c>
      <c r="G42" s="3">
        <v>5.4625000000000004</v>
      </c>
      <c r="H42" s="1">
        <v>5.9342427594528901</v>
      </c>
      <c r="I42" s="3">
        <f t="shared" si="0"/>
        <v>-0.47174275945288979</v>
      </c>
      <c r="J42">
        <v>7</v>
      </c>
      <c r="K42">
        <v>4</v>
      </c>
      <c r="L42" s="1">
        <v>8.5571824318637399E-2</v>
      </c>
      <c r="M42" s="4">
        <v>11.686089527276801</v>
      </c>
      <c r="N42" s="21">
        <v>6.44847612780893</v>
      </c>
      <c r="O42" s="21" t="s">
        <v>294</v>
      </c>
      <c r="P42" s="21">
        <v>0.31915287218514599</v>
      </c>
      <c r="Q42" s="21">
        <v>0</v>
      </c>
      <c r="R42" s="21">
        <v>0</v>
      </c>
      <c r="S42" s="21">
        <v>0</v>
      </c>
      <c r="T42">
        <v>0</v>
      </c>
      <c r="U42" s="21">
        <f t="shared" si="2"/>
        <v>5.4625000000000004</v>
      </c>
      <c r="V42" s="5">
        <v>7.03</v>
      </c>
      <c r="W42" s="5">
        <v>5.14</v>
      </c>
      <c r="X42" s="5">
        <v>5.3650000000000002</v>
      </c>
      <c r="Y42" s="5">
        <v>4.5250000000000004</v>
      </c>
      <c r="Z42" s="5">
        <v>0</v>
      </c>
      <c r="AA42" s="5">
        <v>4.87</v>
      </c>
      <c r="AB42" s="5">
        <v>4.4050000000000002</v>
      </c>
      <c r="AC42" s="5">
        <v>6.2762500000000001</v>
      </c>
      <c r="AD42" s="5">
        <v>6.82</v>
      </c>
      <c r="AE42" s="5">
        <v>5.2428569999999999</v>
      </c>
      <c r="AF42" s="5">
        <v>4.8159999999999998</v>
      </c>
      <c r="AG42" s="5">
        <v>6.2380000000000004</v>
      </c>
      <c r="AH42" s="5">
        <v>3.7</v>
      </c>
      <c r="AI42" s="5">
        <v>4.1500000000000004</v>
      </c>
      <c r="AJ42" s="5">
        <v>9.5500000000000007</v>
      </c>
      <c r="AK42" s="5">
        <v>4.42</v>
      </c>
      <c r="AL42" s="5">
        <v>9.5500000000000007</v>
      </c>
      <c r="AM42" s="36">
        <v>5.0816548916203302E-3</v>
      </c>
      <c r="AN42" s="36">
        <v>2.0541722135623201E-3</v>
      </c>
      <c r="AO42" s="36">
        <v>2.2249686623823802E-3</v>
      </c>
      <c r="AP42" s="36">
        <v>2.15629414368111E-3</v>
      </c>
      <c r="AQ42" s="36">
        <v>2.0953516532097802E-3</v>
      </c>
      <c r="AR42" s="36">
        <v>1.9014631287733899E-3</v>
      </c>
      <c r="AS42" s="36">
        <v>1.6989210611994901E-3</v>
      </c>
      <c r="AT42" s="36">
        <v>1.85611902341379E-3</v>
      </c>
      <c r="AU42" s="36">
        <v>1.65235022488162E-3</v>
      </c>
      <c r="AV42" s="36">
        <v>1.6277466231661901E-3</v>
      </c>
      <c r="AW42" s="36">
        <v>1.6211278365773499E-3</v>
      </c>
      <c r="AX42" s="36">
        <v>1.77669418087241E-3</v>
      </c>
      <c r="AY42" s="36">
        <v>1.70157593860887E-3</v>
      </c>
      <c r="AZ42" s="36">
        <v>1.8517019697988301E-3</v>
      </c>
      <c r="BA42" s="36">
        <v>1.54203435448013E-3</v>
      </c>
      <c r="BB42" s="36">
        <v>1.84685440177326E-3</v>
      </c>
      <c r="BC42" s="36">
        <v>1.82803726215216E-3</v>
      </c>
      <c r="BD42" s="6">
        <v>5.6380410000000003</v>
      </c>
      <c r="BE42" s="6">
        <v>6.1977469999999997</v>
      </c>
      <c r="BF42" s="6">
        <v>6.0971109999999999</v>
      </c>
      <c r="BG42" s="6">
        <v>5.8139019999999997</v>
      </c>
      <c r="BH42" s="6">
        <v>5.9313459999999996</v>
      </c>
      <c r="BI42" s="6">
        <v>6.0361539999999998</v>
      </c>
      <c r="BJ42" s="6">
        <v>5.8312270000000002</v>
      </c>
      <c r="BK42" s="6">
        <v>5.9936480000000003</v>
      </c>
      <c r="BL42" s="6">
        <v>5.7011560000000001</v>
      </c>
      <c r="BM42" s="6">
        <v>5.765142</v>
      </c>
      <c r="BN42" s="6">
        <v>5.9487779999999999</v>
      </c>
      <c r="BO42" s="6">
        <v>6.1937150000000001</v>
      </c>
      <c r="BP42" s="6">
        <v>5.77</v>
      </c>
      <c r="BQ42" s="6">
        <v>6.1222919999999998</v>
      </c>
      <c r="BR42" s="6">
        <v>6.2274050000000001</v>
      </c>
      <c r="BS42" s="6">
        <v>5.915</v>
      </c>
      <c r="BT42" s="6">
        <v>5.5114000000000001</v>
      </c>
    </row>
    <row r="43" spans="1:72">
      <c r="A43" s="7" t="s">
        <v>314</v>
      </c>
      <c r="B43" s="1" t="s">
        <v>49</v>
      </c>
      <c r="C43" s="21">
        <v>0.276134121618825</v>
      </c>
      <c r="D43" s="21">
        <v>4.60224931362508E-2</v>
      </c>
      <c r="E43" s="10">
        <v>1.6654700554674E-3</v>
      </c>
      <c r="F43" s="3">
        <v>2.8666282605059323E-3</v>
      </c>
      <c r="G43" s="3">
        <v>6.46882352941177</v>
      </c>
      <c r="H43" s="1">
        <v>6.9703352769679601</v>
      </c>
      <c r="I43" s="3">
        <f t="shared" si="0"/>
        <v>-0.5015117475561901</v>
      </c>
      <c r="J43">
        <v>7</v>
      </c>
      <c r="K43">
        <v>4</v>
      </c>
      <c r="L43" s="1">
        <v>0.14146126630921099</v>
      </c>
      <c r="M43" s="4">
        <v>7.0690728712562603</v>
      </c>
      <c r="N43" s="21">
        <v>6.9754267371284904</v>
      </c>
      <c r="O43" s="21" t="s">
        <v>294</v>
      </c>
      <c r="P43" s="21">
        <v>0.276134121618825</v>
      </c>
      <c r="Q43" s="21">
        <v>0</v>
      </c>
      <c r="R43" s="21">
        <v>0</v>
      </c>
      <c r="S43" s="21">
        <v>0</v>
      </c>
      <c r="T43">
        <v>0</v>
      </c>
      <c r="U43" s="21">
        <f t="shared" si="2"/>
        <v>6.46882352941177</v>
      </c>
      <c r="V43" s="5">
        <v>0</v>
      </c>
      <c r="W43" s="5">
        <v>9.5500000000000007</v>
      </c>
      <c r="X43" s="5">
        <v>0</v>
      </c>
      <c r="Y43" s="5">
        <v>0</v>
      </c>
      <c r="Z43" s="5">
        <v>0</v>
      </c>
      <c r="AA43" s="5">
        <v>8.65</v>
      </c>
      <c r="AB43" s="5">
        <v>0</v>
      </c>
      <c r="AC43" s="5">
        <v>5.05</v>
      </c>
      <c r="AD43" s="5">
        <v>0</v>
      </c>
      <c r="AE43" s="5">
        <v>5.95</v>
      </c>
      <c r="AF43" s="5">
        <v>0</v>
      </c>
      <c r="AG43" s="5">
        <v>5.95</v>
      </c>
      <c r="AH43" s="5">
        <v>5.5</v>
      </c>
      <c r="AI43" s="5">
        <v>4.42</v>
      </c>
      <c r="AJ43" s="5">
        <v>6.625</v>
      </c>
      <c r="AK43" s="5">
        <v>7.5250000000000004</v>
      </c>
      <c r="AL43" s="5">
        <v>0</v>
      </c>
      <c r="AM43" s="36">
        <v>4.3966964804676902E-3</v>
      </c>
      <c r="AN43" s="36">
        <v>1.7772894724781599E-3</v>
      </c>
      <c r="AO43" s="36">
        <v>1.9250641957561799E-3</v>
      </c>
      <c r="AP43" s="36">
        <v>1.8656463444633601E-3</v>
      </c>
      <c r="AQ43" s="36">
        <v>1.8129183180466001E-3</v>
      </c>
      <c r="AR43" s="36">
        <v>1.6451641097869501E-3</v>
      </c>
      <c r="AS43" s="36">
        <v>1.46992277312765E-3</v>
      </c>
      <c r="AT43" s="36">
        <v>1.60593195555835E-3</v>
      </c>
      <c r="AU43" s="36">
        <v>1.4296292395252601E-3</v>
      </c>
      <c r="AV43" s="36">
        <v>1.4083419676864299E-3</v>
      </c>
      <c r="AW43" s="36">
        <v>1.4026153301400499E-3</v>
      </c>
      <c r="AX43" s="36">
        <v>1.5372128211206301E-3</v>
      </c>
      <c r="AY43" s="36">
        <v>1.4722197984886401E-3</v>
      </c>
      <c r="AZ43" s="36">
        <v>1.60211027846751E-3</v>
      </c>
      <c r="BA43" s="36">
        <v>1.3341828919321199E-3</v>
      </c>
      <c r="BB43" s="36">
        <v>1.5979161161854499E-3</v>
      </c>
      <c r="BC43" s="36">
        <v>1.5816353467689699E-3</v>
      </c>
      <c r="BD43" s="6">
        <v>6.4331579999999997</v>
      </c>
      <c r="BE43" s="6">
        <v>6.9727030000000001</v>
      </c>
      <c r="BF43" s="6">
        <v>7.1086960000000001</v>
      </c>
      <c r="BG43" s="6">
        <v>7.1941179999999996</v>
      </c>
      <c r="BH43" s="6">
        <v>7.8159999999999998</v>
      </c>
      <c r="BI43" s="6">
        <v>7.048</v>
      </c>
      <c r="BJ43" s="6">
        <v>7.1607139999999996</v>
      </c>
      <c r="BK43" s="6">
        <v>6.9961479999999998</v>
      </c>
      <c r="BL43" s="6">
        <v>6.8534379999999997</v>
      </c>
      <c r="BM43" s="6">
        <v>6.5004350000000004</v>
      </c>
      <c r="BN43" s="6">
        <v>6.7511219999999996</v>
      </c>
      <c r="BO43" s="6">
        <v>7.3020490000000002</v>
      </c>
      <c r="BP43" s="6">
        <v>7.3718750000000002</v>
      </c>
      <c r="BQ43" s="6">
        <v>6.39</v>
      </c>
      <c r="BR43" s="6">
        <v>7.258</v>
      </c>
      <c r="BS43" s="6">
        <v>7.1168969999999998</v>
      </c>
      <c r="BT43" s="6">
        <v>6.6657690000000001</v>
      </c>
    </row>
    <row r="44" spans="1:72">
      <c r="A44" s="7" t="s">
        <v>315</v>
      </c>
      <c r="B44" s="1" t="s">
        <v>50</v>
      </c>
      <c r="C44" s="21">
        <v>0.30399053446906399</v>
      </c>
      <c r="D44" s="21">
        <v>3.1557410312097502E-2</v>
      </c>
      <c r="E44" s="10">
        <v>1.833482690714457E-3</v>
      </c>
      <c r="F44" s="3">
        <v>2.7046063455018351E-3</v>
      </c>
      <c r="G44" s="3">
        <v>5.92</v>
      </c>
      <c r="H44" s="1">
        <v>5.8638427947598304</v>
      </c>
      <c r="I44" s="3">
        <f t="shared" si="0"/>
        <v>5.6157205240169539E-2</v>
      </c>
      <c r="J44">
        <v>6</v>
      </c>
      <c r="K44">
        <v>4</v>
      </c>
      <c r="L44" s="1">
        <v>6.5344124300657905E-2</v>
      </c>
      <c r="M44" s="4">
        <v>15.303594786868</v>
      </c>
      <c r="N44" s="21">
        <v>6.6197270926170901</v>
      </c>
      <c r="O44" s="21" t="s">
        <v>294</v>
      </c>
      <c r="P44" s="21">
        <v>0.30399053446906399</v>
      </c>
      <c r="Q44" s="21">
        <v>0</v>
      </c>
      <c r="R44" s="21">
        <v>0</v>
      </c>
      <c r="S44" s="21">
        <v>0</v>
      </c>
      <c r="T44">
        <v>0</v>
      </c>
      <c r="U44" s="21">
        <f t="shared" si="2"/>
        <v>5.92</v>
      </c>
      <c r="V44" s="5">
        <v>5.5</v>
      </c>
      <c r="W44" s="5">
        <v>5.5</v>
      </c>
      <c r="X44" s="5">
        <v>6.85</v>
      </c>
      <c r="Y44" s="5">
        <v>0</v>
      </c>
      <c r="Z44" s="5">
        <v>0</v>
      </c>
      <c r="AA44" s="5">
        <v>6.85</v>
      </c>
      <c r="AB44" s="5">
        <v>7.5250000000000004</v>
      </c>
      <c r="AC44" s="5">
        <v>3.7</v>
      </c>
      <c r="AD44" s="5">
        <v>3.7</v>
      </c>
      <c r="AE44" s="5">
        <v>0</v>
      </c>
      <c r="AF44" s="5">
        <v>4.3</v>
      </c>
      <c r="AG44" s="5">
        <v>5.05</v>
      </c>
      <c r="AH44" s="5">
        <v>5.3875000000000002</v>
      </c>
      <c r="AI44" s="5">
        <v>6.85</v>
      </c>
      <c r="AJ44" s="5">
        <v>5.95</v>
      </c>
      <c r="AK44" s="5">
        <v>9.5500000000000007</v>
      </c>
      <c r="AL44" s="5">
        <v>3.7</v>
      </c>
      <c r="AM44" s="36">
        <v>4.8402352637918504E-3</v>
      </c>
      <c r="AN44" s="36">
        <v>1.9565824515909601E-3</v>
      </c>
      <c r="AO44" s="36">
        <v>2.11926469037749E-3</v>
      </c>
      <c r="AP44" s="36">
        <v>2.0538527656735902E-3</v>
      </c>
      <c r="AQ44" s="36">
        <v>1.99580553544373E-3</v>
      </c>
      <c r="AR44" s="36">
        <v>1.81112828103806E-3</v>
      </c>
      <c r="AS44" s="36">
        <v>1.6182085966476201E-3</v>
      </c>
      <c r="AT44" s="36">
        <v>1.76793838671277E-3</v>
      </c>
      <c r="AU44" s="36">
        <v>1.57385025098709E-3</v>
      </c>
      <c r="AV44" s="36">
        <v>1.5504155189599901E-3</v>
      </c>
      <c r="AW44" s="36">
        <v>1.5441111781627399E-3</v>
      </c>
      <c r="AX44" s="36">
        <v>1.6922868653306701E-3</v>
      </c>
      <c r="AY44" s="36">
        <v>1.6207373459491701E-3</v>
      </c>
      <c r="AZ44" s="36">
        <v>1.7637311788001699E-3</v>
      </c>
      <c r="BA44" s="36">
        <v>1.4687752749288599E-3</v>
      </c>
      <c r="BB44" s="36">
        <v>1.75911390938667E-3</v>
      </c>
      <c r="BC44" s="36">
        <v>1.74119073579455E-3</v>
      </c>
      <c r="BD44" s="6">
        <v>5.6529999999999996</v>
      </c>
      <c r="BE44" s="6">
        <v>5.9993550000000004</v>
      </c>
      <c r="BF44" s="6">
        <v>5.9591839999999996</v>
      </c>
      <c r="BG44" s="6">
        <v>6.0464289999999998</v>
      </c>
      <c r="BH44" s="6">
        <v>5.7895649999999996</v>
      </c>
      <c r="BI44" s="6">
        <v>6.2001999999999997</v>
      </c>
      <c r="BJ44" s="6">
        <v>6.2222780000000002</v>
      </c>
      <c r="BK44" s="6">
        <v>5.7606900000000003</v>
      </c>
      <c r="BL44" s="6">
        <v>5.4287970000000003</v>
      </c>
      <c r="BM44" s="6">
        <v>6.0029789999999998</v>
      </c>
      <c r="BN44" s="6">
        <v>5.8579290000000004</v>
      </c>
      <c r="BO44" s="6">
        <v>5.9523679999999999</v>
      </c>
      <c r="BP44" s="6">
        <v>5.6042110000000003</v>
      </c>
      <c r="BQ44" s="6">
        <v>5.4832859999999997</v>
      </c>
      <c r="BR44" s="6">
        <v>5.2149999999999999</v>
      </c>
      <c r="BS44" s="6">
        <v>6.0464289999999998</v>
      </c>
      <c r="BT44" s="6">
        <v>5.8647369999999999</v>
      </c>
    </row>
    <row r="45" spans="1:72">
      <c r="A45" s="7" t="s">
        <v>316</v>
      </c>
      <c r="B45" s="1" t="s">
        <v>51</v>
      </c>
      <c r="C45" s="21">
        <v>0.37340041408957803</v>
      </c>
      <c r="D45" s="21">
        <v>3.0508884930729299E-2</v>
      </c>
      <c r="E45" s="10">
        <v>3.0698349051598529E-3</v>
      </c>
      <c r="F45" s="3">
        <v>1.5354767471481116E-3</v>
      </c>
      <c r="G45" s="3">
        <v>5.5310344827586198</v>
      </c>
      <c r="H45" s="1">
        <v>5.5139469696969901</v>
      </c>
      <c r="I45" s="3">
        <f t="shared" si="0"/>
        <v>1.70875130616297E-2</v>
      </c>
      <c r="J45">
        <v>2</v>
      </c>
      <c r="K45">
        <v>3</v>
      </c>
      <c r="L45" s="1">
        <v>0.109175004764565</v>
      </c>
      <c r="M45" s="4">
        <v>9.15960573719682</v>
      </c>
      <c r="N45" s="21">
        <v>6.8130810112776397</v>
      </c>
      <c r="O45" s="21" t="s">
        <v>294</v>
      </c>
      <c r="P45" s="21">
        <v>0.37340041408957803</v>
      </c>
      <c r="Q45" s="21">
        <v>0</v>
      </c>
      <c r="R45" s="21">
        <v>0</v>
      </c>
      <c r="S45" s="21">
        <v>0</v>
      </c>
      <c r="T45">
        <v>2.4487288137403</v>
      </c>
      <c r="U45" s="21">
        <f t="shared" si="2"/>
        <v>7.9797632964989198</v>
      </c>
      <c r="V45" s="5">
        <v>6.58</v>
      </c>
      <c r="W45" s="5">
        <v>3.7</v>
      </c>
      <c r="X45" s="5">
        <v>4.5999999999999996</v>
      </c>
      <c r="Y45" s="5">
        <v>3.97</v>
      </c>
      <c r="Z45" s="5">
        <v>0</v>
      </c>
      <c r="AA45" s="5">
        <v>5.05</v>
      </c>
      <c r="AB45" s="5">
        <v>5.5</v>
      </c>
      <c r="AC45" s="5">
        <v>5.3875000000000002</v>
      </c>
      <c r="AD45" s="5">
        <v>4.4424999999999999</v>
      </c>
      <c r="AE45" s="5">
        <v>4.1500000000000004</v>
      </c>
      <c r="AF45" s="5">
        <v>9.5500000000000007</v>
      </c>
      <c r="AG45" s="5">
        <v>6.4337499999999999</v>
      </c>
      <c r="AH45" s="5">
        <v>5.23</v>
      </c>
      <c r="AI45" s="5">
        <v>0</v>
      </c>
      <c r="AJ45" s="5">
        <v>0</v>
      </c>
      <c r="AK45" s="5">
        <v>6.85</v>
      </c>
      <c r="AL45" s="5">
        <v>0</v>
      </c>
      <c r="AM45" s="36">
        <v>8.4760769746416303E-3</v>
      </c>
      <c r="AN45" s="36">
        <v>3.4263093761120098E-3</v>
      </c>
      <c r="AO45" s="36">
        <v>3.7111937057388699E-3</v>
      </c>
      <c r="AP45" s="36">
        <v>3.5966462759894902E-3</v>
      </c>
      <c r="AQ45" s="36">
        <v>3.4949956815909801E-3</v>
      </c>
      <c r="AR45" s="36">
        <v>3.1715943305207698E-3</v>
      </c>
      <c r="AS45" s="36">
        <v>2.8337590796086299E-3</v>
      </c>
      <c r="AT45" s="36">
        <v>3.09596146375367E-3</v>
      </c>
      <c r="AU45" s="36">
        <v>2.75608005538866E-3</v>
      </c>
      <c r="AV45" s="36">
        <v>2.7150418451124601E-3</v>
      </c>
      <c r="AW45" s="36">
        <v>2.70400186978902E-3</v>
      </c>
      <c r="AX45" s="36">
        <v>2.9634827548611102E-3</v>
      </c>
      <c r="AY45" s="36">
        <v>2.838187350666E-3</v>
      </c>
      <c r="AZ45" s="36">
        <v>3.0885939255717401E-3</v>
      </c>
      <c r="BA45" s="36">
        <v>2.57207586207173E-3</v>
      </c>
      <c r="BB45" s="36">
        <v>3.0805082998059301E-3</v>
      </c>
      <c r="BC45" s="36">
        <v>3.0491217678054899E-3</v>
      </c>
      <c r="BD45" s="6">
        <v>5.2023080000000004</v>
      </c>
      <c r="BE45" s="6">
        <v>5.2371999999999996</v>
      </c>
      <c r="BF45" s="6">
        <v>5.3979999999999997</v>
      </c>
      <c r="BG45" s="6">
        <v>4.7050000000000001</v>
      </c>
      <c r="BH45" s="6">
        <v>4.41</v>
      </c>
      <c r="BI45" s="6">
        <v>5.7939999999999996</v>
      </c>
      <c r="BJ45" s="6">
        <v>5.430714</v>
      </c>
      <c r="BK45" s="6">
        <v>4.7169999999999996</v>
      </c>
      <c r="BL45" s="6">
        <v>5.6361540000000003</v>
      </c>
      <c r="BM45" s="6">
        <v>5.1274579999999998</v>
      </c>
      <c r="BN45" s="6">
        <v>6.1489000000000003</v>
      </c>
      <c r="BO45" s="6">
        <v>5.9231249999999998</v>
      </c>
      <c r="BP45" s="6">
        <v>5.2590000000000003</v>
      </c>
      <c r="BQ45" s="6">
        <v>6.4409090000000004</v>
      </c>
      <c r="BR45" s="6">
        <v>6.0641069999999999</v>
      </c>
      <c r="BS45" s="6">
        <v>5.3436839999999997</v>
      </c>
      <c r="BT45" s="6">
        <v>6.0439129999999999</v>
      </c>
    </row>
    <row r="46" spans="1:72">
      <c r="A46" s="7" t="s">
        <v>317</v>
      </c>
      <c r="B46" s="1" t="s">
        <v>52</v>
      </c>
      <c r="C46" s="21">
        <v>0.319201196959077</v>
      </c>
      <c r="D46" s="21">
        <v>3.85811902933881E-2</v>
      </c>
      <c r="E46" s="10">
        <v>1.925223989299452E-3</v>
      </c>
      <c r="F46" s="3">
        <v>1.3478200993152104E-3</v>
      </c>
      <c r="G46" s="3">
        <v>4.9749999999999996</v>
      </c>
      <c r="H46" s="1">
        <v>5.2520703124999901</v>
      </c>
      <c r="I46" s="3">
        <f t="shared" si="0"/>
        <v>-0.27707031249999048</v>
      </c>
      <c r="J46">
        <v>7</v>
      </c>
      <c r="K46">
        <v>4</v>
      </c>
      <c r="L46" s="1">
        <v>0.109767350693279</v>
      </c>
      <c r="M46" s="4">
        <v>9.1101770579694694</v>
      </c>
      <c r="N46" s="21">
        <v>5.9164418578638402</v>
      </c>
      <c r="O46" s="21" t="s">
        <v>456</v>
      </c>
      <c r="P46" s="21">
        <v>46.845355746655997</v>
      </c>
      <c r="Q46" s="21">
        <v>6.9193559840985703E-3</v>
      </c>
      <c r="R46" s="21">
        <v>0</v>
      </c>
      <c r="S46" s="21">
        <v>1.1007701400732E-2</v>
      </c>
      <c r="T46">
        <v>0</v>
      </c>
      <c r="U46" s="21">
        <f t="shared" si="2"/>
        <v>4.9749999999999996</v>
      </c>
      <c r="V46" s="5">
        <v>0</v>
      </c>
      <c r="W46" s="5">
        <v>1.9</v>
      </c>
      <c r="X46" s="5">
        <v>0</v>
      </c>
      <c r="Y46" s="5">
        <v>0</v>
      </c>
      <c r="Z46" s="5">
        <v>0</v>
      </c>
      <c r="AA46" s="5">
        <v>0</v>
      </c>
      <c r="AB46" s="5">
        <v>1.9</v>
      </c>
      <c r="AC46" s="5">
        <v>1.9</v>
      </c>
      <c r="AD46" s="5">
        <v>0</v>
      </c>
      <c r="AE46" s="5">
        <v>0</v>
      </c>
      <c r="AF46" s="5">
        <v>9.1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9.5500000000000007</v>
      </c>
      <c r="AM46" s="36">
        <v>5.0824243342455899E-3</v>
      </c>
      <c r="AN46" s="36">
        <v>2.0544832476042702E-3</v>
      </c>
      <c r="AO46" s="36">
        <v>2.22530555769803E-3</v>
      </c>
      <c r="AP46" s="36">
        <v>2.1566206405924698E-3</v>
      </c>
      <c r="AQ46" s="36">
        <v>2.0956689224677799E-3</v>
      </c>
      <c r="AR46" s="36">
        <v>1.9017510402535799E-3</v>
      </c>
      <c r="AS46" s="36">
        <v>1.69917830461907E-3</v>
      </c>
      <c r="AT46" s="36">
        <v>1.8564000690819099E-3</v>
      </c>
      <c r="AU46" s="36">
        <v>1.6526004167427299E-3</v>
      </c>
      <c r="AV46" s="36">
        <v>1.6279930896543099E-3</v>
      </c>
      <c r="AW46" s="36">
        <v>1.62137330087689E-3</v>
      </c>
      <c r="AX46" s="36">
        <v>1.7769632003678301E-3</v>
      </c>
      <c r="AY46" s="36">
        <v>1.7018335840187199E-3</v>
      </c>
      <c r="AZ46" s="36">
        <v>1.8519823466554299E-3</v>
      </c>
      <c r="BA46" s="36">
        <v>1.5422678427801501E-3</v>
      </c>
      <c r="BB46" s="36">
        <v>1.8471340446316699E-3</v>
      </c>
      <c r="BC46" s="36">
        <v>1.82831405579912E-3</v>
      </c>
      <c r="BD46" s="6">
        <v>6.7750000000000004</v>
      </c>
      <c r="BE46" s="6">
        <v>6.1449999999999996</v>
      </c>
      <c r="BF46" s="6">
        <v>4.93</v>
      </c>
      <c r="BG46" s="6">
        <v>5.3772729999999997</v>
      </c>
      <c r="BH46" s="6">
        <v>4.2</v>
      </c>
      <c r="BI46" s="6">
        <v>5.0031999999999996</v>
      </c>
      <c r="BJ46" s="6">
        <v>4.6449999999999996</v>
      </c>
      <c r="BK46" s="6">
        <v>4.6651319999999998</v>
      </c>
      <c r="BL46" s="6">
        <v>4.7466670000000004</v>
      </c>
      <c r="BM46" s="6">
        <v>4.4939289999999996</v>
      </c>
      <c r="BN46" s="6">
        <v>5.2248570000000001</v>
      </c>
      <c r="BO46" s="6">
        <v>5.4425860000000004</v>
      </c>
      <c r="BP46" s="6">
        <v>6.6618180000000002</v>
      </c>
      <c r="BQ46" s="6">
        <v>5.849348</v>
      </c>
      <c r="BR46" s="6">
        <v>5.4672729999999996</v>
      </c>
      <c r="BS46" s="6">
        <v>5.5</v>
      </c>
      <c r="BT46" s="6">
        <v>5.734375</v>
      </c>
    </row>
    <row r="47" spans="1:72">
      <c r="A47" s="7" t="s">
        <v>318</v>
      </c>
      <c r="B47" s="1" t="s">
        <v>53</v>
      </c>
      <c r="C47" s="21">
        <v>0.31006048595339902</v>
      </c>
      <c r="D47" s="21">
        <v>2.8226790296735301E-2</v>
      </c>
      <c r="E47" s="10">
        <v>1.870092879908152E-3</v>
      </c>
      <c r="F47" s="3">
        <v>2.105499168229677E-3</v>
      </c>
      <c r="G47" s="3">
        <v>5.3957894736842098</v>
      </c>
      <c r="H47" s="1">
        <v>5.5254838709677401</v>
      </c>
      <c r="I47" s="3">
        <f t="shared" si="0"/>
        <v>-0.12969439728353027</v>
      </c>
      <c r="J47">
        <v>7</v>
      </c>
      <c r="K47">
        <v>4</v>
      </c>
      <c r="L47" s="1">
        <v>5.7156096286664203E-2</v>
      </c>
      <c r="M47" s="4">
        <v>17.4959464513556</v>
      </c>
      <c r="N47" s="21">
        <v>6.4094733292389403</v>
      </c>
      <c r="O47" s="21" t="s">
        <v>294</v>
      </c>
      <c r="P47" s="21">
        <v>0.31006048595339902</v>
      </c>
      <c r="Q47" s="21">
        <v>0</v>
      </c>
      <c r="R47" s="21">
        <v>0</v>
      </c>
      <c r="S47" s="21">
        <v>0</v>
      </c>
      <c r="T47">
        <v>0</v>
      </c>
      <c r="U47" s="21">
        <f t="shared" si="2"/>
        <v>5.3957894736842098</v>
      </c>
      <c r="V47" s="5">
        <v>0</v>
      </c>
      <c r="W47" s="5">
        <v>8.65</v>
      </c>
      <c r="X47" s="5">
        <v>4.6719999999999997</v>
      </c>
      <c r="Y47" s="5">
        <v>4.78</v>
      </c>
      <c r="Z47" s="5">
        <v>0</v>
      </c>
      <c r="AA47" s="5">
        <v>6.85</v>
      </c>
      <c r="AB47" s="5">
        <v>4.9749999999999996</v>
      </c>
      <c r="AC47" s="5">
        <v>9.5500000000000007</v>
      </c>
      <c r="AD47" s="5">
        <v>5.875</v>
      </c>
      <c r="AE47" s="5">
        <v>7.42</v>
      </c>
      <c r="AF47" s="5">
        <v>3.67</v>
      </c>
      <c r="AG47" s="5">
        <v>0</v>
      </c>
      <c r="AH47" s="5">
        <v>5.3650000000000002</v>
      </c>
      <c r="AI47" s="5">
        <v>4.1500000000000004</v>
      </c>
      <c r="AJ47" s="5">
        <v>0</v>
      </c>
      <c r="AK47" s="5">
        <v>3.9925000000000002</v>
      </c>
      <c r="AL47" s="5">
        <v>0</v>
      </c>
      <c r="AM47" s="36">
        <v>4.9368829876273897E-3</v>
      </c>
      <c r="AN47" s="36">
        <v>1.9956506435562199E-3</v>
      </c>
      <c r="AO47" s="36">
        <v>2.16158125090962E-3</v>
      </c>
      <c r="AP47" s="36">
        <v>2.0948632091907899E-3</v>
      </c>
      <c r="AQ47" s="36">
        <v>2.0356569169792402E-3</v>
      </c>
      <c r="AR47" s="36">
        <v>1.84729210704997E-3</v>
      </c>
      <c r="AS47" s="36">
        <v>1.6505202858597199E-3</v>
      </c>
      <c r="AT47" s="36">
        <v>1.8032398155989799E-3</v>
      </c>
      <c r="AU47" s="36">
        <v>1.6052762119427E-3</v>
      </c>
      <c r="AV47" s="36">
        <v>1.5813735453244801E-3</v>
      </c>
      <c r="AW47" s="36">
        <v>1.5749433221774699E-3</v>
      </c>
      <c r="AX47" s="36">
        <v>1.72607771736518E-3</v>
      </c>
      <c r="AY47" s="36">
        <v>1.65309952813337E-3</v>
      </c>
      <c r="AZ47" s="36">
        <v>1.7989485999788399E-3</v>
      </c>
      <c r="BA47" s="36">
        <v>1.4981031442185401E-3</v>
      </c>
      <c r="BB47" s="36">
        <v>1.79423913492714E-3</v>
      </c>
      <c r="BC47" s="36">
        <v>1.7759580791583999E-3</v>
      </c>
      <c r="BD47" s="6">
        <v>5.8694740000000003</v>
      </c>
      <c r="BE47" s="6">
        <v>6.71875</v>
      </c>
      <c r="BF47" s="6">
        <v>5.4568000000000003</v>
      </c>
      <c r="BG47" s="6">
        <v>5.8085709999999997</v>
      </c>
      <c r="BH47" s="6">
        <v>5.5184850000000001</v>
      </c>
      <c r="BI47" s="6">
        <v>6.1901640000000002</v>
      </c>
      <c r="BJ47" s="6">
        <v>4.7862960000000001</v>
      </c>
      <c r="BK47" s="6">
        <v>5.5833329999999997</v>
      </c>
      <c r="BL47" s="6">
        <v>5.4333999999999998</v>
      </c>
      <c r="BM47" s="6">
        <v>5.3786519999999998</v>
      </c>
      <c r="BN47" s="6">
        <v>5.7</v>
      </c>
      <c r="BO47" s="6">
        <v>5.3172870000000003</v>
      </c>
      <c r="BP47" s="6">
        <v>5.164485</v>
      </c>
      <c r="BQ47" s="6">
        <v>4.9724139999999997</v>
      </c>
      <c r="BR47" s="6">
        <v>5.8314630000000003</v>
      </c>
      <c r="BS47" s="6">
        <v>5.3414289999999998</v>
      </c>
      <c r="BT47" s="6">
        <v>5.412547</v>
      </c>
    </row>
    <row r="48" spans="1:72">
      <c r="A48" s="7" t="s">
        <v>319</v>
      </c>
      <c r="B48" s="1" t="s">
        <v>54</v>
      </c>
      <c r="C48" s="21">
        <v>0.27905042890876602</v>
      </c>
      <c r="D48" s="21">
        <v>1.64955800407833E-2</v>
      </c>
      <c r="E48" s="10">
        <v>1.6830594154329981E-3</v>
      </c>
      <c r="F48" s="3">
        <v>9.0540631115057259E-3</v>
      </c>
      <c r="G48" s="3">
        <v>8.2251834862385298</v>
      </c>
      <c r="H48" s="1">
        <v>7.9031778969454596</v>
      </c>
      <c r="I48" s="3">
        <f t="shared" si="0"/>
        <v>0.32200558929307022</v>
      </c>
      <c r="J48">
        <v>5</v>
      </c>
      <c r="K48">
        <v>3</v>
      </c>
      <c r="L48" s="1">
        <v>8.0695269997036106E-2</v>
      </c>
      <c r="M48" s="4">
        <v>12.3923000695918</v>
      </c>
      <c r="N48" s="21">
        <v>6.9743833510123601</v>
      </c>
      <c r="O48" s="21" t="s">
        <v>294</v>
      </c>
      <c r="P48" s="21">
        <v>0.27905042890876602</v>
      </c>
      <c r="Q48" s="21">
        <v>0</v>
      </c>
      <c r="R48" s="21">
        <v>0</v>
      </c>
      <c r="S48" s="21">
        <v>0</v>
      </c>
      <c r="T48">
        <v>0</v>
      </c>
      <c r="U48" s="21">
        <f t="shared" si="2"/>
        <v>8.2251834862385298</v>
      </c>
      <c r="V48" s="5">
        <v>8.0875000000000004</v>
      </c>
      <c r="W48" s="5">
        <v>7.9749999999999996</v>
      </c>
      <c r="X48" s="5">
        <v>8.2899999999999991</v>
      </c>
      <c r="Y48" s="5">
        <v>8.65</v>
      </c>
      <c r="Z48" s="5">
        <v>7.3</v>
      </c>
      <c r="AA48" s="5">
        <v>8.7624999999999993</v>
      </c>
      <c r="AB48" s="5">
        <v>7.21</v>
      </c>
      <c r="AC48" s="5">
        <v>7.4285709999999998</v>
      </c>
      <c r="AD48" s="5">
        <v>9.1</v>
      </c>
      <c r="AE48" s="5">
        <v>7.6375000000000002</v>
      </c>
      <c r="AF48" s="5">
        <v>8.6312499999999996</v>
      </c>
      <c r="AG48" s="5">
        <v>7.2181819999999997</v>
      </c>
      <c r="AH48" s="5">
        <v>8.92</v>
      </c>
      <c r="AI48" s="5">
        <v>8.125</v>
      </c>
      <c r="AJ48" s="5">
        <v>9.4</v>
      </c>
      <c r="AK48" s="5">
        <v>8.65</v>
      </c>
      <c r="AL48" s="5">
        <v>8.5</v>
      </c>
      <c r="AM48" s="36">
        <v>4.4431308650431101E-3</v>
      </c>
      <c r="AN48" s="36">
        <v>1.7960597795106199E-3</v>
      </c>
      <c r="AO48" s="36">
        <v>1.9453951809845699E-3</v>
      </c>
      <c r="AP48" s="36">
        <v>1.88534980596574E-3</v>
      </c>
      <c r="AQ48" s="36">
        <v>1.83206490839187E-3</v>
      </c>
      <c r="AR48" s="36">
        <v>1.66253901462809E-3</v>
      </c>
      <c r="AS48" s="36">
        <v>1.4854469194149401E-3</v>
      </c>
      <c r="AT48" s="36">
        <v>1.62289252182843E-3</v>
      </c>
      <c r="AU48" s="36">
        <v>1.44472783780315E-3</v>
      </c>
      <c r="AV48" s="36">
        <v>1.42321574685945E-3</v>
      </c>
      <c r="AW48" s="36">
        <v>1.4174286291568101E-3</v>
      </c>
      <c r="AX48" s="36">
        <v>1.55344763096646E-3</v>
      </c>
      <c r="AY48" s="36">
        <v>1.4877682041168801E-3</v>
      </c>
      <c r="AZ48" s="36">
        <v>1.6190304832469601E-3</v>
      </c>
      <c r="BA48" s="36">
        <v>1.34827346238045E-3</v>
      </c>
      <c r="BB48" s="36">
        <v>1.61479202558421E-3</v>
      </c>
      <c r="BC48" s="36">
        <v>1.5983393117290801E-3</v>
      </c>
      <c r="BD48" s="6">
        <v>7.9924489999999997</v>
      </c>
      <c r="BE48" s="6">
        <v>7.5680930000000002</v>
      </c>
      <c r="BF48" s="6">
        <v>7.7798540000000003</v>
      </c>
      <c r="BG48" s="6">
        <v>7.3223079999999996</v>
      </c>
      <c r="BH48" s="6">
        <v>7.7138999999999998</v>
      </c>
      <c r="BI48" s="6">
        <v>7.8004499999999997</v>
      </c>
      <c r="BJ48" s="6">
        <v>7.6168399999999998</v>
      </c>
      <c r="BK48" s="6">
        <v>7.6956429999999996</v>
      </c>
      <c r="BL48" s="6">
        <v>7.9535090000000004</v>
      </c>
      <c r="BM48" s="6">
        <v>8.1451089999999997</v>
      </c>
      <c r="BN48" s="6">
        <v>7.8039519999999998</v>
      </c>
      <c r="BO48" s="6">
        <v>7.7998719999999997</v>
      </c>
      <c r="BP48" s="6">
        <v>7.8571759999999999</v>
      </c>
      <c r="BQ48" s="6">
        <v>8.3261710000000004</v>
      </c>
      <c r="BR48" s="6">
        <v>8.5067400000000006</v>
      </c>
      <c r="BS48" s="6">
        <v>8.0026039999999998</v>
      </c>
      <c r="BT48" s="6">
        <v>8.1960840000000008</v>
      </c>
    </row>
    <row r="49" spans="1:72">
      <c r="A49" s="7" t="s">
        <v>320</v>
      </c>
      <c r="B49" s="1" t="s">
        <v>55</v>
      </c>
      <c r="C49" s="21">
        <v>0.26768459153639601</v>
      </c>
      <c r="D49" s="21">
        <v>2.90603477793006E-2</v>
      </c>
      <c r="E49" s="10">
        <v>1.614507721466236E-3</v>
      </c>
      <c r="F49" s="3">
        <v>2.9063063793493154E-3</v>
      </c>
      <c r="G49" s="3">
        <v>5.95</v>
      </c>
      <c r="H49" s="1">
        <v>6.8479508196721497</v>
      </c>
      <c r="I49" s="3">
        <f t="shared" si="0"/>
        <v>-0.89795081967214951</v>
      </c>
      <c r="J49">
        <v>7</v>
      </c>
      <c r="K49">
        <v>4</v>
      </c>
      <c r="L49" s="1">
        <v>0.13200253759993499</v>
      </c>
      <c r="M49" s="4">
        <v>7.5756119403608499</v>
      </c>
      <c r="N49" s="21">
        <v>6.6109726122531001</v>
      </c>
      <c r="O49" s="21" t="s">
        <v>456</v>
      </c>
      <c r="P49" s="21">
        <v>33.236600722236901</v>
      </c>
      <c r="Q49" s="21">
        <v>8.2036032236939699E-3</v>
      </c>
      <c r="R49" s="21">
        <v>0</v>
      </c>
      <c r="S49" s="21">
        <v>2.0756827542632101E-2</v>
      </c>
      <c r="T49">
        <v>0</v>
      </c>
      <c r="U49" s="21">
        <f t="shared" si="2"/>
        <v>5.95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7.75</v>
      </c>
      <c r="AC49" s="5">
        <v>2.8</v>
      </c>
      <c r="AD49" s="5">
        <v>0</v>
      </c>
      <c r="AE49" s="5">
        <v>0</v>
      </c>
      <c r="AF49" s="5">
        <v>0</v>
      </c>
      <c r="AG49" s="5">
        <v>2.8</v>
      </c>
      <c r="AH49" s="5">
        <v>0</v>
      </c>
      <c r="AI49" s="5">
        <v>0</v>
      </c>
      <c r="AJ49" s="5">
        <v>9.5500000000000007</v>
      </c>
      <c r="AK49" s="5">
        <v>0</v>
      </c>
      <c r="AL49" s="5">
        <v>0</v>
      </c>
      <c r="AM49" s="36">
        <v>4.2621603392721296E-3</v>
      </c>
      <c r="AN49" s="36">
        <v>1.7229055347929101E-3</v>
      </c>
      <c r="AO49" s="36">
        <v>1.8661584446766301E-3</v>
      </c>
      <c r="AP49" s="36">
        <v>1.8085587421840701E-3</v>
      </c>
      <c r="AQ49" s="36">
        <v>1.7574441601427601E-3</v>
      </c>
      <c r="AR49" s="36">
        <v>1.5948231249253699E-3</v>
      </c>
      <c r="AS49" s="36">
        <v>1.42494406271846E-3</v>
      </c>
      <c r="AT49" s="36">
        <v>1.5567914498893201E-3</v>
      </c>
      <c r="AU49" s="36">
        <v>1.38588348584849E-3</v>
      </c>
      <c r="AV49" s="36">
        <v>1.3652475911111999E-3</v>
      </c>
      <c r="AW49" s="36">
        <v>1.3596961850644001E-3</v>
      </c>
      <c r="AX49" s="36">
        <v>1.49017507765377E-3</v>
      </c>
      <c r="AY49" s="36">
        <v>1.4271708005511501E-3</v>
      </c>
      <c r="AZ49" s="36">
        <v>1.55308671370876E-3</v>
      </c>
      <c r="BA49" s="36">
        <v>1.29335773633471E-3</v>
      </c>
      <c r="BB49" s="36">
        <v>1.54902089014908E-3</v>
      </c>
      <c r="BC49" s="36">
        <v>1.5332383020154601E-3</v>
      </c>
      <c r="BD49" s="6">
        <v>6.2481249999999999</v>
      </c>
      <c r="BE49" s="6">
        <v>7.1068749999999996</v>
      </c>
      <c r="BF49" s="6">
        <v>7.008108</v>
      </c>
      <c r="BG49" s="6">
        <v>7.3604690000000002</v>
      </c>
      <c r="BH49" s="6">
        <v>7.3487499999999999</v>
      </c>
      <c r="BI49" s="6">
        <v>6.5311430000000001</v>
      </c>
      <c r="BJ49" s="6">
        <v>7.2207460000000001</v>
      </c>
      <c r="BK49" s="6">
        <v>6.788983</v>
      </c>
      <c r="BL49" s="6">
        <v>6.7315069999999997</v>
      </c>
      <c r="BM49" s="6">
        <v>6.9338519999999999</v>
      </c>
      <c r="BN49" s="6">
        <v>6.8092860000000002</v>
      </c>
      <c r="BO49" s="6">
        <v>6.6941879999999996</v>
      </c>
      <c r="BP49" s="6">
        <v>6.8565180000000003</v>
      </c>
      <c r="BQ49" s="6">
        <v>6.6084209999999999</v>
      </c>
      <c r="BR49" s="6">
        <v>6.7077419999999996</v>
      </c>
      <c r="BS49" s="6">
        <v>6.713902</v>
      </c>
      <c r="BT49" s="6">
        <v>6.4393750000000001</v>
      </c>
    </row>
    <row r="50" spans="1:72">
      <c r="A50" s="7" t="s">
        <v>321</v>
      </c>
      <c r="B50" s="1" t="s">
        <v>56</v>
      </c>
      <c r="C50" s="21">
        <v>0.184013663614957</v>
      </c>
      <c r="D50" s="21">
        <v>2.2283467614549801E-2</v>
      </c>
      <c r="E50" s="10">
        <v>1.109856488400993E-3</v>
      </c>
      <c r="F50" s="3">
        <v>3.0839194954912132E-3</v>
      </c>
      <c r="G50" s="3">
        <v>7.28</v>
      </c>
      <c r="H50" s="1">
        <v>7.4346518987342396</v>
      </c>
      <c r="I50" s="3">
        <f t="shared" si="0"/>
        <v>-0.15465189873423935</v>
      </c>
      <c r="J50">
        <v>7</v>
      </c>
      <c r="K50">
        <v>4</v>
      </c>
      <c r="L50" s="1">
        <v>7.9671649925709007E-2</v>
      </c>
      <c r="M50" s="4">
        <v>12.551516140715901</v>
      </c>
      <c r="N50" s="21">
        <v>6.6199750459566804</v>
      </c>
      <c r="O50" s="21" t="s">
        <v>294</v>
      </c>
      <c r="P50" s="21">
        <v>0.184013663614957</v>
      </c>
      <c r="Q50" s="21">
        <v>0</v>
      </c>
      <c r="R50" s="21">
        <v>0</v>
      </c>
      <c r="S50" s="21">
        <v>0</v>
      </c>
      <c r="T50">
        <v>0</v>
      </c>
      <c r="U50" s="21">
        <f t="shared" si="2"/>
        <v>7.28</v>
      </c>
      <c r="V50" s="5">
        <v>6.85</v>
      </c>
      <c r="W50" s="5">
        <v>7.3</v>
      </c>
      <c r="X50" s="5">
        <v>9.5500000000000007</v>
      </c>
      <c r="Y50" s="5">
        <v>8.1999999999999993</v>
      </c>
      <c r="Z50" s="5">
        <v>9.5500000000000007</v>
      </c>
      <c r="AA50" s="5">
        <v>7.3</v>
      </c>
      <c r="AB50" s="5">
        <v>7.75</v>
      </c>
      <c r="AC50" s="5">
        <v>5.05</v>
      </c>
      <c r="AD50" s="5">
        <v>0</v>
      </c>
      <c r="AE50" s="5">
        <v>8</v>
      </c>
      <c r="AF50" s="5">
        <v>7.2750000000000004</v>
      </c>
      <c r="AG50" s="5">
        <v>9.1</v>
      </c>
      <c r="AH50" s="5">
        <v>3.7</v>
      </c>
      <c r="AI50" s="5">
        <v>0</v>
      </c>
      <c r="AJ50" s="5">
        <v>9.5500000000000007</v>
      </c>
      <c r="AK50" s="5">
        <v>9.5500000000000007</v>
      </c>
      <c r="AL50" s="5">
        <v>5.7249999999999996</v>
      </c>
      <c r="AM50" s="36">
        <v>2.92992485836524E-3</v>
      </c>
      <c r="AN50" s="36">
        <v>1.1843720914232101E-3</v>
      </c>
      <c r="AO50" s="36">
        <v>1.2828480351445399E-3</v>
      </c>
      <c r="AP50" s="36">
        <v>1.24325243415028E-3</v>
      </c>
      <c r="AQ50" s="36">
        <v>1.20811488121313E-3</v>
      </c>
      <c r="AR50" s="36">
        <v>1.0963247617316401E-3</v>
      </c>
      <c r="AS50" s="36">
        <v>9.7954527723181808E-4</v>
      </c>
      <c r="AT50" s="36">
        <v>1.0701807546499101E-3</v>
      </c>
      <c r="AU50" s="36">
        <v>9.5269397506495901E-4</v>
      </c>
      <c r="AV50" s="36">
        <v>9.38508300160074E-4</v>
      </c>
      <c r="AW50" s="36">
        <v>9.3469211276198095E-4</v>
      </c>
      <c r="AX50" s="36">
        <v>1.02438684981048E-3</v>
      </c>
      <c r="AY50" s="36">
        <v>9.8107599733846407E-4</v>
      </c>
      <c r="AZ50" s="36">
        <v>1.06763401830846E-3</v>
      </c>
      <c r="BA50" s="36">
        <v>8.8908926009414904E-4</v>
      </c>
      <c r="BB50" s="36">
        <v>1.0648390606886201E-3</v>
      </c>
      <c r="BC50" s="36">
        <v>1.0539896806510099E-3</v>
      </c>
      <c r="BD50" s="6">
        <v>7.5925000000000002</v>
      </c>
      <c r="BE50" s="6">
        <v>7.6677140000000001</v>
      </c>
      <c r="BF50" s="6">
        <v>7.21</v>
      </c>
      <c r="BG50" s="6">
        <v>8.0928570000000004</v>
      </c>
      <c r="BH50" s="6">
        <v>7.1433330000000002</v>
      </c>
      <c r="BI50" s="6">
        <v>7.4683330000000003</v>
      </c>
      <c r="BJ50" s="6">
        <v>7.4834129999999996</v>
      </c>
      <c r="BK50" s="6">
        <v>6.9434089999999999</v>
      </c>
      <c r="BL50" s="6">
        <v>6.9368420000000004</v>
      </c>
      <c r="BM50" s="6">
        <v>7.4211109999999998</v>
      </c>
      <c r="BN50" s="6">
        <v>7.8616669999999997</v>
      </c>
      <c r="BO50" s="6">
        <v>7.7131819999999998</v>
      </c>
      <c r="BP50" s="6">
        <v>7.5445650000000004</v>
      </c>
      <c r="BQ50" s="6">
        <v>7.2014860000000001</v>
      </c>
      <c r="BR50" s="6">
        <v>7.1905409999999996</v>
      </c>
      <c r="BS50" s="6">
        <v>7.2176600000000004</v>
      </c>
      <c r="BT50" s="6">
        <v>7.8440909999999997</v>
      </c>
    </row>
    <row r="51" spans="1:72">
      <c r="A51" s="7" t="s">
        <v>322</v>
      </c>
      <c r="B51" s="1" t="s">
        <v>57</v>
      </c>
      <c r="C51" s="21">
        <v>0.25247775130414402</v>
      </c>
      <c r="D51" s="21">
        <v>2.2856236302516601E-2</v>
      </c>
      <c r="E51" s="10">
        <v>1.522789476373536E-3</v>
      </c>
      <c r="F51" s="3">
        <v>2.0864147610274758E-3</v>
      </c>
      <c r="G51" s="3">
        <v>5.78125</v>
      </c>
      <c r="H51" s="1">
        <v>6.1477005730659302</v>
      </c>
      <c r="I51" s="3">
        <f t="shared" si="0"/>
        <v>-0.36645057306593021</v>
      </c>
      <c r="J51">
        <v>7</v>
      </c>
      <c r="K51">
        <v>4</v>
      </c>
      <c r="L51" s="1">
        <v>0.12732292505314399</v>
      </c>
      <c r="M51" s="4">
        <v>7.8540451343118702</v>
      </c>
      <c r="N51" s="21">
        <v>5.9571211236130104</v>
      </c>
      <c r="O51" s="21" t="s">
        <v>294</v>
      </c>
      <c r="P51" s="21">
        <v>0.25247775130414402</v>
      </c>
      <c r="Q51" s="21">
        <v>0</v>
      </c>
      <c r="R51" s="21">
        <v>0</v>
      </c>
      <c r="S51" s="21">
        <v>0</v>
      </c>
      <c r="T51">
        <v>0</v>
      </c>
      <c r="U51" s="21">
        <f t="shared" si="2"/>
        <v>5.78125</v>
      </c>
      <c r="V51" s="5">
        <v>0</v>
      </c>
      <c r="W51" s="5">
        <v>0</v>
      </c>
      <c r="X51" s="5">
        <v>2.8</v>
      </c>
      <c r="Y51" s="5">
        <v>0</v>
      </c>
      <c r="Z51" s="5">
        <v>0</v>
      </c>
      <c r="AA51" s="5">
        <v>0</v>
      </c>
      <c r="AB51" s="5">
        <v>5.95</v>
      </c>
      <c r="AC51" s="5">
        <v>0</v>
      </c>
      <c r="AD51" s="5">
        <v>9.1</v>
      </c>
      <c r="AE51" s="5">
        <v>0</v>
      </c>
      <c r="AF51" s="5">
        <v>0</v>
      </c>
      <c r="AG51" s="5">
        <v>0</v>
      </c>
      <c r="AH51" s="5">
        <v>6.1749999999999998</v>
      </c>
      <c r="AI51" s="5">
        <v>0</v>
      </c>
      <c r="AJ51" s="5">
        <v>0</v>
      </c>
      <c r="AK51" s="5">
        <v>3.25</v>
      </c>
      <c r="AL51" s="5">
        <v>4.1500000000000004</v>
      </c>
      <c r="AM51" s="36">
        <v>4.0200321280383497E-3</v>
      </c>
      <c r="AN51" s="36">
        <v>1.62502934008002E-3</v>
      </c>
      <c r="AO51" s="36">
        <v>1.7601442241591699E-3</v>
      </c>
      <c r="AP51" s="36">
        <v>1.7058166916043801E-3</v>
      </c>
      <c r="AQ51" s="36">
        <v>1.65760586759478E-3</v>
      </c>
      <c r="AR51" s="36">
        <v>1.5042231381265699E-3</v>
      </c>
      <c r="AS51" s="36">
        <v>1.34399470146727E-3</v>
      </c>
      <c r="AT51" s="36">
        <v>1.4683519968840999E-3</v>
      </c>
      <c r="AU51" s="36">
        <v>1.3071531090686601E-3</v>
      </c>
      <c r="AV51" s="36">
        <v>1.2876895147335601E-3</v>
      </c>
      <c r="AW51" s="36">
        <v>1.28245347739863E-3</v>
      </c>
      <c r="AX51" s="36">
        <v>1.40552002076797E-3</v>
      </c>
      <c r="AY51" s="36">
        <v>1.34609494099737E-3</v>
      </c>
      <c r="AZ51" s="36">
        <v>1.4648577223176299E-3</v>
      </c>
      <c r="BA51" s="36">
        <v>1.2198836362877E-3</v>
      </c>
      <c r="BB51" s="36">
        <v>1.46102287331248E-3</v>
      </c>
      <c r="BC51" s="36">
        <v>1.4461368750603399E-3</v>
      </c>
      <c r="BD51" s="6">
        <v>7.0923080000000001</v>
      </c>
      <c r="BE51" s="6">
        <v>5.2417389999999999</v>
      </c>
      <c r="BF51" s="6">
        <v>5.3071429999999999</v>
      </c>
      <c r="BG51" s="6">
        <v>4.87</v>
      </c>
      <c r="BH51" s="6">
        <v>6.4915000000000003</v>
      </c>
      <c r="BI51" s="6">
        <v>6.7848280000000001</v>
      </c>
      <c r="BJ51" s="6">
        <v>5.8921299999999999</v>
      </c>
      <c r="BK51" s="6">
        <v>6.1968569999999996</v>
      </c>
      <c r="BL51" s="6">
        <v>5.9778180000000001</v>
      </c>
      <c r="BM51" s="6">
        <v>5.782203</v>
      </c>
      <c r="BN51" s="6">
        <v>6.8126420000000003</v>
      </c>
      <c r="BO51" s="6">
        <v>6.0617739999999998</v>
      </c>
      <c r="BP51" s="6">
        <v>6.19</v>
      </c>
      <c r="BQ51" s="6">
        <v>6.1915789999999999</v>
      </c>
      <c r="BR51" s="6">
        <v>7.2156250000000002</v>
      </c>
      <c r="BS51" s="6">
        <v>5.9190630000000004</v>
      </c>
      <c r="BT51" s="6">
        <v>5.8461540000000003</v>
      </c>
    </row>
    <row r="52" spans="1:72">
      <c r="A52" s="7" t="s">
        <v>323</v>
      </c>
      <c r="B52" s="1" t="s">
        <v>58</v>
      </c>
      <c r="C52" s="21">
        <v>0.30225839842081598</v>
      </c>
      <c r="D52" s="21">
        <v>2.6602915417973699E-2</v>
      </c>
      <c r="E52" s="10">
        <v>1.823035518509007E-3</v>
      </c>
      <c r="F52" s="3">
        <v>2.1733664996615651E-3</v>
      </c>
      <c r="G52" s="3">
        <v>6.1504545454545401</v>
      </c>
      <c r="H52" s="1">
        <v>5.6343730242360399</v>
      </c>
      <c r="I52" s="3">
        <f t="shared" si="0"/>
        <v>0.51608152121850015</v>
      </c>
      <c r="J52">
        <v>6</v>
      </c>
      <c r="K52">
        <v>4</v>
      </c>
      <c r="L52" s="1">
        <v>0.11245419071406799</v>
      </c>
      <c r="M52" s="4">
        <v>8.8925098624617096</v>
      </c>
      <c r="N52" s="21">
        <v>6.8660697707795899</v>
      </c>
      <c r="O52" s="21" t="s">
        <v>294</v>
      </c>
      <c r="P52" s="21">
        <v>0.30225839842081598</v>
      </c>
      <c r="Q52" s="21">
        <v>0</v>
      </c>
      <c r="R52" s="21">
        <v>0</v>
      </c>
      <c r="S52" s="21">
        <v>0</v>
      </c>
      <c r="T52">
        <v>0</v>
      </c>
      <c r="U52" s="21">
        <f t="shared" si="2"/>
        <v>6.1504545454545401</v>
      </c>
      <c r="V52" s="5">
        <v>9.5500000000000007</v>
      </c>
      <c r="W52" s="5">
        <v>3.4750000000000001</v>
      </c>
      <c r="X52" s="5">
        <v>0</v>
      </c>
      <c r="Y52" s="5">
        <v>0</v>
      </c>
      <c r="Z52" s="5">
        <v>0</v>
      </c>
      <c r="AA52" s="5">
        <v>9.5500000000000007</v>
      </c>
      <c r="AB52" s="5">
        <v>0</v>
      </c>
      <c r="AC52" s="5">
        <v>5.4550000000000001</v>
      </c>
      <c r="AD52" s="5">
        <v>6.22</v>
      </c>
      <c r="AE52" s="5">
        <v>3.61</v>
      </c>
      <c r="AF52" s="5">
        <v>3.6549999999999998</v>
      </c>
      <c r="AG52" s="5">
        <v>9.5500000000000007</v>
      </c>
      <c r="AH52" s="5">
        <v>6.625</v>
      </c>
      <c r="AI52" s="5">
        <v>0</v>
      </c>
      <c r="AJ52" s="5">
        <v>0</v>
      </c>
      <c r="AK52" s="5">
        <v>5.32</v>
      </c>
      <c r="AL52" s="5">
        <v>9.5500000000000007</v>
      </c>
      <c r="AM52" s="36">
        <v>4.8126556353765898E-3</v>
      </c>
      <c r="AN52" s="36">
        <v>1.9454338577648701E-3</v>
      </c>
      <c r="AO52" s="36">
        <v>2.1071891342342901E-3</v>
      </c>
      <c r="AP52" s="36">
        <v>2.04214992624331E-3</v>
      </c>
      <c r="AQ52" s="36">
        <v>1.98443344874612E-3</v>
      </c>
      <c r="AR52" s="36">
        <v>1.80080848411061E-3</v>
      </c>
      <c r="AS52" s="36">
        <v>1.6089880548016901E-3</v>
      </c>
      <c r="AT52" s="36">
        <v>1.7578646855165899E-3</v>
      </c>
      <c r="AU52" s="36">
        <v>1.56488246270039E-3</v>
      </c>
      <c r="AV52" s="36">
        <v>1.5415812616208799E-3</v>
      </c>
      <c r="AW52" s="36">
        <v>1.5353128429156501E-3</v>
      </c>
      <c r="AX52" s="36">
        <v>1.6826442260013401E-3</v>
      </c>
      <c r="AY52" s="36">
        <v>1.6115023953065001E-3</v>
      </c>
      <c r="AZ52" s="36">
        <v>1.75368145024676E-3</v>
      </c>
      <c r="BA52" s="36">
        <v>1.4604062031585E-3</v>
      </c>
      <c r="BB52" s="36">
        <v>1.7490904900037401E-3</v>
      </c>
      <c r="BC52" s="36">
        <v>1.73126944253582E-3</v>
      </c>
      <c r="BD52" s="6">
        <v>5.6565219999999998</v>
      </c>
      <c r="BE52" s="6">
        <v>4.8004550000000004</v>
      </c>
      <c r="BF52" s="6">
        <v>5.56907</v>
      </c>
      <c r="BG52" s="6">
        <v>5.7850000000000001</v>
      </c>
      <c r="BH52" s="6">
        <v>5.6661669999999997</v>
      </c>
      <c r="BI52" s="6">
        <v>5.8560869999999996</v>
      </c>
      <c r="BJ52" s="6">
        <v>5.7778460000000003</v>
      </c>
      <c r="BK52" s="6">
        <v>5.95</v>
      </c>
      <c r="BL52" s="6">
        <v>4.9784930000000003</v>
      </c>
      <c r="BM52" s="6">
        <v>6.0336020000000001</v>
      </c>
      <c r="BN52" s="6">
        <v>4.969265</v>
      </c>
      <c r="BO52" s="6">
        <v>5.6085289999999999</v>
      </c>
      <c r="BP52" s="6">
        <v>6.0935610000000002</v>
      </c>
      <c r="BQ52" s="6">
        <v>5.8579549999999996</v>
      </c>
      <c r="BR52" s="6">
        <v>5.8685710000000002</v>
      </c>
      <c r="BS52" s="6">
        <v>5.734</v>
      </c>
      <c r="BT52" s="6">
        <v>5.4927999999999999</v>
      </c>
    </row>
    <row r="53" spans="1:72">
      <c r="A53" s="7" t="s">
        <v>324</v>
      </c>
      <c r="B53" s="1" t="s">
        <v>59</v>
      </c>
      <c r="C53" s="21">
        <v>0.701468568106283</v>
      </c>
      <c r="D53" s="21">
        <v>0.21796860998175399</v>
      </c>
      <c r="E53" s="10">
        <v>5.0040819306284021E-3</v>
      </c>
      <c r="F53" s="3">
        <v>3.2645978438921018E-3</v>
      </c>
      <c r="G53" s="3">
        <v>9.2769999999999992</v>
      </c>
      <c r="H53" s="1">
        <v>9.2559482758621705</v>
      </c>
      <c r="I53" s="3">
        <f t="shared" si="0"/>
        <v>2.1051724137828742E-2</v>
      </c>
      <c r="J53">
        <v>2</v>
      </c>
      <c r="K53">
        <v>3</v>
      </c>
      <c r="L53" s="1">
        <v>0.30409109210750801</v>
      </c>
      <c r="M53" s="4">
        <v>3.2884883048348601</v>
      </c>
      <c r="N53" s="21">
        <v>9.5500000000000007</v>
      </c>
      <c r="O53" s="21" t="s">
        <v>294</v>
      </c>
      <c r="P53" s="21">
        <v>0.701468568106283</v>
      </c>
      <c r="Q53" s="21">
        <v>0</v>
      </c>
      <c r="R53" s="21">
        <v>0</v>
      </c>
      <c r="S53" s="21">
        <v>0</v>
      </c>
      <c r="T53">
        <v>0.72299999999999998</v>
      </c>
      <c r="U53" s="21">
        <f t="shared" si="2"/>
        <v>10</v>
      </c>
      <c r="V53" s="5">
        <v>0</v>
      </c>
      <c r="W53" s="5">
        <v>9.5500000000000007</v>
      </c>
      <c r="X53" s="5">
        <v>9.5500000000000007</v>
      </c>
      <c r="Y53" s="5">
        <v>0</v>
      </c>
      <c r="Z53" s="5">
        <v>9.5500000000000007</v>
      </c>
      <c r="AA53" s="5">
        <v>0</v>
      </c>
      <c r="AB53" s="5">
        <v>9.5500000000000007</v>
      </c>
      <c r="AC53" s="5">
        <v>9.5500000000000007</v>
      </c>
      <c r="AD53" s="5">
        <v>9.5500000000000007</v>
      </c>
      <c r="AE53" s="5">
        <v>8.56</v>
      </c>
      <c r="AF53" s="5">
        <v>8.65</v>
      </c>
      <c r="AG53" s="5">
        <v>9.5500000000000007</v>
      </c>
      <c r="AH53" s="5">
        <v>0</v>
      </c>
      <c r="AI53" s="5">
        <v>9.3249999999999993</v>
      </c>
      <c r="AJ53" s="5">
        <v>0</v>
      </c>
      <c r="AK53" s="5">
        <v>9.5500000000000007</v>
      </c>
      <c r="AL53" s="5">
        <v>9.5500000000000007</v>
      </c>
      <c r="AM53" s="36">
        <v>1.2710881243585799E-2</v>
      </c>
      <c r="AN53" s="36">
        <v>5.1381566866180997E-3</v>
      </c>
      <c r="AO53" s="36">
        <v>5.5653744776880901E-3</v>
      </c>
      <c r="AP53" s="36">
        <v>5.3935970409495597E-3</v>
      </c>
      <c r="AQ53" s="36">
        <v>5.2411599361893097E-3</v>
      </c>
      <c r="AR53" s="36">
        <v>4.7561813099018298E-3</v>
      </c>
      <c r="AS53" s="36">
        <v>4.2495573413974903E-3</v>
      </c>
      <c r="AT53" s="36">
        <v>4.6427608689992E-3</v>
      </c>
      <c r="AU53" s="36">
        <v>4.1330684450682498E-3</v>
      </c>
      <c r="AV53" s="36">
        <v>4.0715267886120097E-3</v>
      </c>
      <c r="AW53" s="36">
        <v>4.0549710381524301E-3</v>
      </c>
      <c r="AX53" s="36">
        <v>4.4440933555876397E-3</v>
      </c>
      <c r="AY53" s="36">
        <v>4.2561980582872796E-3</v>
      </c>
      <c r="AZ53" s="36">
        <v>4.6317123729593002E-3</v>
      </c>
      <c r="BA53" s="36">
        <v>3.8571323656094799E-3</v>
      </c>
      <c r="BB53" s="36">
        <v>4.61958701954443E-3</v>
      </c>
      <c r="BC53" s="36">
        <v>4.5725191977090199E-3</v>
      </c>
      <c r="BD53" s="6">
        <v>9.5500000000000007</v>
      </c>
      <c r="BE53" s="6">
        <v>9.08</v>
      </c>
      <c r="BF53" s="6">
        <v>9.4681820000000005</v>
      </c>
      <c r="BG53" s="6">
        <v>9.1409090000000006</v>
      </c>
      <c r="BH53" s="6">
        <v>9.3215380000000003</v>
      </c>
      <c r="BI53" s="6">
        <v>9.5078130000000005</v>
      </c>
      <c r="BJ53" s="6">
        <v>9.2575000000000003</v>
      </c>
      <c r="BK53" s="6">
        <v>9.3345070000000003</v>
      </c>
      <c r="BL53" s="6">
        <v>9.2168419999999998</v>
      </c>
      <c r="BM53" s="6">
        <v>9.1557139999999997</v>
      </c>
      <c r="BN53" s="6">
        <v>9.2136069999999997</v>
      </c>
      <c r="BO53" s="6">
        <v>8.9168970000000005</v>
      </c>
      <c r="BP53" s="6">
        <v>9.19</v>
      </c>
      <c r="BQ53" s="6">
        <v>9.5344829999999998</v>
      </c>
      <c r="BR53" s="6">
        <v>8.9714290000000005</v>
      </c>
      <c r="BS53" s="6">
        <v>9.5500000000000007</v>
      </c>
      <c r="BT53" s="6">
        <v>9.5500000000000007</v>
      </c>
    </row>
    <row r="54" spans="1:72">
      <c r="A54" s="7" t="s">
        <v>325</v>
      </c>
      <c r="B54" s="1" t="s">
        <v>60</v>
      </c>
      <c r="C54" s="21">
        <v>0.46214730684441602</v>
      </c>
      <c r="D54" s="21">
        <v>3.6097716801679898E-2</v>
      </c>
      <c r="E54" s="10">
        <v>2.7873864202366161E-3</v>
      </c>
      <c r="F54" s="3">
        <v>1.2845765363078281E-2</v>
      </c>
      <c r="G54" s="3">
        <v>9.2272251308900302</v>
      </c>
      <c r="H54" s="1">
        <v>9.2108404029698097</v>
      </c>
      <c r="I54" s="3">
        <f t="shared" si="0"/>
        <v>1.6384727920220499E-2</v>
      </c>
      <c r="J54">
        <v>1</v>
      </c>
      <c r="K54">
        <v>2</v>
      </c>
      <c r="L54" s="1">
        <v>0.122490678803546</v>
      </c>
      <c r="M54" s="4">
        <v>8.1638865076731904</v>
      </c>
      <c r="N54" s="21">
        <v>9.5500000000000007</v>
      </c>
      <c r="O54" s="21" t="s">
        <v>294</v>
      </c>
      <c r="P54" s="21">
        <v>0.46214730684441602</v>
      </c>
      <c r="Q54" s="21">
        <v>0</v>
      </c>
      <c r="R54" s="21">
        <v>0</v>
      </c>
      <c r="S54" s="21">
        <v>0</v>
      </c>
      <c r="T54">
        <v>0</v>
      </c>
      <c r="U54" s="21">
        <f t="shared" si="2"/>
        <v>9.2272251308900302</v>
      </c>
      <c r="V54" s="5">
        <v>8.4700000000000006</v>
      </c>
      <c r="W54" s="5">
        <v>9.1857140000000008</v>
      </c>
      <c r="X54" s="5">
        <v>9.1999999999999993</v>
      </c>
      <c r="Y54" s="5">
        <v>9.6999999999999993</v>
      </c>
      <c r="Z54" s="5">
        <v>9.4</v>
      </c>
      <c r="AA54" s="5">
        <v>9.1300000000000008</v>
      </c>
      <c r="AB54" s="5">
        <v>9.4937500000000004</v>
      </c>
      <c r="AC54" s="5">
        <v>9.2575000000000003</v>
      </c>
      <c r="AD54" s="5">
        <v>9.4124999999999996</v>
      </c>
      <c r="AE54" s="5">
        <v>9.4230769999999993</v>
      </c>
      <c r="AF54" s="5">
        <v>8.9605259999999998</v>
      </c>
      <c r="AG54" s="5">
        <v>9.5076920000000005</v>
      </c>
      <c r="AH54" s="5">
        <v>9.5090909999999997</v>
      </c>
      <c r="AI54" s="5">
        <v>9.0850000000000009</v>
      </c>
      <c r="AJ54" s="5">
        <v>9.5500000000000007</v>
      </c>
      <c r="AK54" s="5">
        <v>8.546875</v>
      </c>
      <c r="AL54" s="5">
        <v>9.4166670000000003</v>
      </c>
      <c r="AM54" s="36">
        <v>7.3584583663489599E-3</v>
      </c>
      <c r="AN54" s="36">
        <v>2.9745311386129001E-3</v>
      </c>
      <c r="AO54" s="36">
        <v>3.2218518608121099E-3</v>
      </c>
      <c r="AP54" s="36">
        <v>3.1224081564539701E-3</v>
      </c>
      <c r="AQ54" s="36">
        <v>3.0341607668852E-3</v>
      </c>
      <c r="AR54" s="36">
        <v>2.7534017100018398E-3</v>
      </c>
      <c r="AS54" s="36">
        <v>2.46011194447006E-3</v>
      </c>
      <c r="AT54" s="36">
        <v>2.6877414637702002E-3</v>
      </c>
      <c r="AU54" s="36">
        <v>2.3926753381990902E-3</v>
      </c>
      <c r="AV54" s="36">
        <v>2.3570482476653102E-3</v>
      </c>
      <c r="AW54" s="36">
        <v>2.34746395542421E-3</v>
      </c>
      <c r="AX54" s="36">
        <v>2.5727308206708E-3</v>
      </c>
      <c r="AY54" s="36">
        <v>2.4639563229847902E-3</v>
      </c>
      <c r="AZ54" s="36">
        <v>2.6813453770974998E-3</v>
      </c>
      <c r="BA54" s="36">
        <v>2.2329331367293499E-3</v>
      </c>
      <c r="BB54" s="36">
        <v>2.6743258867434699E-3</v>
      </c>
      <c r="BC54" s="36">
        <v>2.6470778462077001E-3</v>
      </c>
      <c r="BD54" s="6">
        <v>9.0921769999999995</v>
      </c>
      <c r="BE54" s="6">
        <v>9.287922</v>
      </c>
      <c r="BF54" s="6">
        <v>9.2918099999999999</v>
      </c>
      <c r="BG54" s="6">
        <v>9.2616999999999994</v>
      </c>
      <c r="BH54" s="6">
        <v>9.3049479999999996</v>
      </c>
      <c r="BI54" s="6">
        <v>9.1828369999999993</v>
      </c>
      <c r="BJ54" s="6">
        <v>9.2303370000000005</v>
      </c>
      <c r="BK54" s="6">
        <v>9.1473069999999996</v>
      </c>
      <c r="BL54" s="6">
        <v>9.2330199999999998</v>
      </c>
      <c r="BM54" s="6">
        <v>9.2162550000000003</v>
      </c>
      <c r="BN54" s="6">
        <v>9.1605430000000005</v>
      </c>
      <c r="BO54" s="6">
        <v>9.1698179999999994</v>
      </c>
      <c r="BP54" s="6">
        <v>9.3189200000000003</v>
      </c>
      <c r="BQ54" s="6">
        <v>9.1970390000000002</v>
      </c>
      <c r="BR54" s="6">
        <v>9.1317869999999992</v>
      </c>
      <c r="BS54" s="6">
        <v>9.2025459999999999</v>
      </c>
      <c r="BT54" s="6">
        <v>9.2269740000000002</v>
      </c>
    </row>
    <row r="55" spans="1:72">
      <c r="A55" s="7" t="s">
        <v>326</v>
      </c>
      <c r="B55" s="1" t="s">
        <v>61</v>
      </c>
      <c r="C55" s="21">
        <v>0.53345221032470902</v>
      </c>
      <c r="D55" s="21">
        <v>9.0723837504486093E-3</v>
      </c>
      <c r="E55" s="10">
        <v>3.2174534501937168E-3</v>
      </c>
      <c r="F55" s="3">
        <v>5.2539997320296725E-2</v>
      </c>
      <c r="G55" s="3">
        <v>8.1544826007326492</v>
      </c>
      <c r="H55" s="1">
        <v>7.9861724384322299</v>
      </c>
      <c r="I55" s="3">
        <f t="shared" si="0"/>
        <v>0.16831016230041929</v>
      </c>
      <c r="J55">
        <v>1</v>
      </c>
      <c r="K55">
        <v>2</v>
      </c>
      <c r="L55" s="1">
        <v>4.9335227129453103E-2</v>
      </c>
      <c r="M55" s="4">
        <v>20.269492169886099</v>
      </c>
      <c r="N55" s="21">
        <v>6.2552428731189904</v>
      </c>
      <c r="O55" s="21" t="s">
        <v>294</v>
      </c>
      <c r="P55" s="21">
        <v>0.53345221032470902</v>
      </c>
      <c r="Q55" s="21">
        <v>0</v>
      </c>
      <c r="R55" s="21">
        <v>0</v>
      </c>
      <c r="S55" s="21">
        <v>0</v>
      </c>
      <c r="T55">
        <v>0</v>
      </c>
      <c r="U55" s="21">
        <f t="shared" si="2"/>
        <v>8.1544826007326492</v>
      </c>
      <c r="V55" s="5">
        <v>7.9988890000000001</v>
      </c>
      <c r="W55" s="5">
        <v>9.0047060000000005</v>
      </c>
      <c r="X55" s="5">
        <v>8.2364859999999993</v>
      </c>
      <c r="Y55" s="5">
        <v>9.0292860000000008</v>
      </c>
      <c r="Z55" s="5">
        <v>7.4971430000000003</v>
      </c>
      <c r="AA55" s="5">
        <v>8.119783</v>
      </c>
      <c r="AB55" s="5">
        <v>7.2952630000000003</v>
      </c>
      <c r="AC55" s="5">
        <v>7.743906</v>
      </c>
      <c r="AD55" s="5">
        <v>8.5404999999999998</v>
      </c>
      <c r="AE55" s="5">
        <v>7.8239530000000004</v>
      </c>
      <c r="AF55" s="5">
        <v>8.239706</v>
      </c>
      <c r="AG55" s="5">
        <v>8.5978949999999994</v>
      </c>
      <c r="AH55" s="5">
        <v>8.3676670000000009</v>
      </c>
      <c r="AI55" s="5">
        <v>8.4319229999999994</v>
      </c>
      <c r="AJ55" s="5">
        <v>8.6108700000000002</v>
      </c>
      <c r="AK55" s="5">
        <v>7.2357139999999998</v>
      </c>
      <c r="AL55" s="5">
        <v>7.8466670000000001</v>
      </c>
      <c r="AM55" s="36">
        <v>8.4937980206226792E-3</v>
      </c>
      <c r="AN55" s="36">
        <v>3.4334728063381702E-3</v>
      </c>
      <c r="AO55" s="36">
        <v>3.7189527473923101E-3</v>
      </c>
      <c r="AP55" s="36">
        <v>3.60416583181998E-3</v>
      </c>
      <c r="AQ55" s="36">
        <v>3.50230271518238E-3</v>
      </c>
      <c r="AR55" s="36">
        <v>3.1782252246398898E-3</v>
      </c>
      <c r="AS55" s="36">
        <v>2.8396836571106098E-3</v>
      </c>
      <c r="AT55" s="36">
        <v>3.1024342312402E-3</v>
      </c>
      <c r="AU55" s="36">
        <v>2.7618422283296499E-3</v>
      </c>
      <c r="AV55" s="36">
        <v>2.7207182189256901E-3</v>
      </c>
      <c r="AW55" s="36">
        <v>2.70965516218015E-3</v>
      </c>
      <c r="AX55" s="36">
        <v>2.9696785473627601E-3</v>
      </c>
      <c r="AY55" s="36">
        <v>2.8441211864127102E-3</v>
      </c>
      <c r="AZ55" s="36">
        <v>3.0950512896489599E-3</v>
      </c>
      <c r="BA55" s="36">
        <v>2.5774533350176299E-3</v>
      </c>
      <c r="BB55" s="36">
        <v>3.0869487591586699E-3</v>
      </c>
      <c r="BC55" s="36">
        <v>3.0554966069216002E-3</v>
      </c>
      <c r="BD55" s="6">
        <v>8.1539439999999992</v>
      </c>
      <c r="BE55" s="6">
        <v>8.1327999999999996</v>
      </c>
      <c r="BF55" s="6">
        <v>8.2744759999999999</v>
      </c>
      <c r="BG55" s="6">
        <v>8.1721780000000006</v>
      </c>
      <c r="BH55" s="6">
        <v>7.9967920000000001</v>
      </c>
      <c r="BI55" s="6">
        <v>7.7884719999999996</v>
      </c>
      <c r="BJ55" s="6">
        <v>7.787185</v>
      </c>
      <c r="BK55" s="6">
        <v>7.7762630000000001</v>
      </c>
      <c r="BL55" s="6">
        <v>7.7218159999999996</v>
      </c>
      <c r="BM55" s="6">
        <v>7.7534850000000004</v>
      </c>
      <c r="BN55" s="6">
        <v>7.944661</v>
      </c>
      <c r="BO55" s="6">
        <v>8.1346150000000002</v>
      </c>
      <c r="BP55" s="6">
        <v>8.0712700000000002</v>
      </c>
      <c r="BQ55" s="6">
        <v>8.0388610000000007</v>
      </c>
      <c r="BR55" s="6">
        <v>8.2668949999999999</v>
      </c>
      <c r="BS55" s="6">
        <v>8.3309700000000007</v>
      </c>
      <c r="BT55" s="6">
        <v>8.1218529999999998</v>
      </c>
    </row>
    <row r="56" spans="1:72">
      <c r="A56" s="7" t="s">
        <v>328</v>
      </c>
      <c r="B56" s="1" t="s">
        <v>63</v>
      </c>
      <c r="C56" s="21">
        <v>0.25606950788217397</v>
      </c>
      <c r="D56" s="21">
        <v>2.2349787945366E-2</v>
      </c>
      <c r="E56" s="10">
        <v>1.517903073780684E-3</v>
      </c>
      <c r="F56" s="3">
        <v>2.9526510863404328E-3</v>
      </c>
      <c r="G56" s="3">
        <v>6.3670731707317101</v>
      </c>
      <c r="H56" s="1">
        <v>6.5543664965986697</v>
      </c>
      <c r="I56" s="3">
        <f t="shared" si="0"/>
        <v>-0.18729332586695957</v>
      </c>
      <c r="J56">
        <v>7</v>
      </c>
      <c r="K56">
        <v>4</v>
      </c>
      <c r="L56" s="1">
        <v>8.2779750548002004E-2</v>
      </c>
      <c r="M56" s="4">
        <v>12.0802490147651</v>
      </c>
      <c r="N56" s="21">
        <v>6.3773805073688301</v>
      </c>
      <c r="O56" s="21" t="s">
        <v>294</v>
      </c>
      <c r="P56" s="21">
        <v>0.25606950788217397</v>
      </c>
      <c r="Q56" s="21">
        <v>0</v>
      </c>
      <c r="R56" s="21">
        <v>0</v>
      </c>
      <c r="S56" s="21">
        <v>0</v>
      </c>
      <c r="T56">
        <v>0</v>
      </c>
      <c r="U56" s="21">
        <f t="shared" si="2"/>
        <v>6.3670731707317101</v>
      </c>
      <c r="V56" s="5">
        <v>9.5500000000000007</v>
      </c>
      <c r="W56" s="5">
        <v>6.0528570000000004</v>
      </c>
      <c r="X56" s="5">
        <v>5.4325000000000001</v>
      </c>
      <c r="Y56" s="5">
        <v>9.5500000000000007</v>
      </c>
      <c r="Z56" s="5">
        <v>0</v>
      </c>
      <c r="AA56" s="5">
        <v>7.0750000000000002</v>
      </c>
      <c r="AB56" s="5">
        <v>5.77</v>
      </c>
      <c r="AC56" s="5">
        <v>5.5</v>
      </c>
      <c r="AD56" s="5">
        <v>9.5500000000000007</v>
      </c>
      <c r="AE56" s="5">
        <v>6.85</v>
      </c>
      <c r="AF56" s="5">
        <v>4.1500000000000004</v>
      </c>
      <c r="AG56" s="5">
        <v>5.1624999999999996</v>
      </c>
      <c r="AH56" s="5">
        <v>0</v>
      </c>
      <c r="AI56" s="5">
        <v>7.3</v>
      </c>
      <c r="AJ56" s="5">
        <v>9.5500000000000007</v>
      </c>
      <c r="AK56" s="5">
        <v>7.75</v>
      </c>
      <c r="AL56" s="5">
        <v>5.95</v>
      </c>
      <c r="AM56" s="36">
        <v>4.2614442911001202E-3</v>
      </c>
      <c r="AN56" s="36">
        <v>1.7226160845469E-3</v>
      </c>
      <c r="AO56" s="36">
        <v>1.8658449277658101E-3</v>
      </c>
      <c r="AP56" s="36">
        <v>1.80825490209401E-3</v>
      </c>
      <c r="AQ56" s="36">
        <v>1.75714890736527E-3</v>
      </c>
      <c r="AR56" s="36">
        <v>1.5945551926815401E-3</v>
      </c>
      <c r="AS56" s="36">
        <v>1.4247046703657301E-3</v>
      </c>
      <c r="AT56" s="36">
        <v>1.5565299070135999E-3</v>
      </c>
      <c r="AU56" s="36">
        <v>1.3856506557206501E-3</v>
      </c>
      <c r="AV56" s="36">
        <v>1.36501822783902E-3</v>
      </c>
      <c r="AW56" s="36">
        <v>1.35946775443526E-3</v>
      </c>
      <c r="AX56" s="36">
        <v>1.48992472641041E-3</v>
      </c>
      <c r="AY56" s="36">
        <v>1.42693103410373E-3</v>
      </c>
      <c r="AZ56" s="36">
        <v>1.5528257932332699E-3</v>
      </c>
      <c r="BA56" s="36">
        <v>1.29314045064644E-3</v>
      </c>
      <c r="BB56" s="36">
        <v>1.54876065273694E-3</v>
      </c>
      <c r="BC56" s="36">
        <v>1.53298071609752E-3</v>
      </c>
      <c r="BD56" s="6">
        <v>6.9775</v>
      </c>
      <c r="BE56" s="6">
        <v>6.6418749999999998</v>
      </c>
      <c r="BF56" s="6">
        <v>6.078017</v>
      </c>
      <c r="BG56" s="6">
        <v>7.2067860000000001</v>
      </c>
      <c r="BH56" s="6">
        <v>7.09</v>
      </c>
      <c r="BI56" s="6">
        <v>6.305714</v>
      </c>
      <c r="BJ56" s="6">
        <v>6.5022279999999997</v>
      </c>
      <c r="BK56" s="6">
        <v>6.4180650000000004</v>
      </c>
      <c r="BL56" s="6">
        <v>6.4826030000000001</v>
      </c>
      <c r="BM56" s="6">
        <v>6.8719349999999997</v>
      </c>
      <c r="BN56" s="6">
        <v>6.3969120000000004</v>
      </c>
      <c r="BO56" s="6">
        <v>6.0838559999999999</v>
      </c>
      <c r="BP56" s="6">
        <v>6.3633649999999999</v>
      </c>
      <c r="BQ56" s="6">
        <v>6.642182</v>
      </c>
      <c r="BR56" s="6">
        <v>6.6844229999999998</v>
      </c>
      <c r="BS56" s="6">
        <v>6.8907809999999996</v>
      </c>
      <c r="BT56" s="6">
        <v>6.740926</v>
      </c>
    </row>
    <row r="57" spans="1:72">
      <c r="A57" s="7" t="s">
        <v>329</v>
      </c>
      <c r="B57" s="1" t="s">
        <v>64</v>
      </c>
      <c r="C57" s="21">
        <v>0.36208330832837499</v>
      </c>
      <c r="D57" s="21">
        <v>3.11181791961243E-2</v>
      </c>
      <c r="E57" s="10">
        <v>2.183862334977609E-3</v>
      </c>
      <c r="F57" s="3">
        <v>1.4875416506049505E-3</v>
      </c>
      <c r="G57" s="3">
        <v>4.7421052631579004</v>
      </c>
      <c r="H57" s="1">
        <v>5.1071428571428701</v>
      </c>
      <c r="I57" s="3">
        <f t="shared" si="0"/>
        <v>-0.36503759398496971</v>
      </c>
      <c r="J57">
        <v>3</v>
      </c>
      <c r="K57">
        <v>2</v>
      </c>
      <c r="L57" s="1">
        <v>0.104208563534831</v>
      </c>
      <c r="M57" s="4">
        <v>9.5961403370247709</v>
      </c>
      <c r="N57" s="21">
        <v>6.8213166634502</v>
      </c>
      <c r="O57" s="21" t="s">
        <v>294</v>
      </c>
      <c r="P57" s="21">
        <v>0.36208330832837499</v>
      </c>
      <c r="Q57" s="21">
        <v>0</v>
      </c>
      <c r="R57" s="21">
        <v>0</v>
      </c>
      <c r="S57" s="21">
        <v>0</v>
      </c>
      <c r="T57">
        <v>0</v>
      </c>
      <c r="U57" s="21">
        <f t="shared" si="2"/>
        <v>4.7421052631579004</v>
      </c>
      <c r="V57" s="5">
        <v>0</v>
      </c>
      <c r="W57" s="5">
        <v>6.1749999999999998</v>
      </c>
      <c r="X57" s="5">
        <v>0</v>
      </c>
      <c r="Y57" s="5">
        <v>0</v>
      </c>
      <c r="Z57" s="5">
        <v>0</v>
      </c>
      <c r="AA57" s="5">
        <v>3.7</v>
      </c>
      <c r="AB57" s="5">
        <v>8.65</v>
      </c>
      <c r="AC57" s="5">
        <v>4.5999999999999996</v>
      </c>
      <c r="AD57" s="5">
        <v>3.61</v>
      </c>
      <c r="AE57" s="5">
        <v>0</v>
      </c>
      <c r="AF57" s="5">
        <v>2.35</v>
      </c>
      <c r="AG57" s="5">
        <v>3.61</v>
      </c>
      <c r="AH57" s="5">
        <v>0</v>
      </c>
      <c r="AI57" s="5">
        <v>2.71</v>
      </c>
      <c r="AJ57" s="5">
        <v>1.9</v>
      </c>
      <c r="AK57" s="5">
        <v>4.9375</v>
      </c>
      <c r="AL57" s="5">
        <v>5.1849999999999996</v>
      </c>
      <c r="AM57" s="36">
        <v>5.7652071320653904E-3</v>
      </c>
      <c r="AN57" s="36">
        <v>2.3304865341502701E-3</v>
      </c>
      <c r="AO57" s="36">
        <v>2.5242574465537499E-3</v>
      </c>
      <c r="AP57" s="36">
        <v>2.4463452637212202E-3</v>
      </c>
      <c r="AQ57" s="36">
        <v>2.37720517290347E-3</v>
      </c>
      <c r="AR57" s="36">
        <v>2.1572359841752799E-3</v>
      </c>
      <c r="AS57" s="36">
        <v>1.9274492321379E-3</v>
      </c>
      <c r="AT57" s="36">
        <v>2.1057924750839101E-3</v>
      </c>
      <c r="AU57" s="36">
        <v>1.8746139799587799E-3</v>
      </c>
      <c r="AV57" s="36">
        <v>1.84670085655518E-3</v>
      </c>
      <c r="AW57" s="36">
        <v>1.83919175244217E-3</v>
      </c>
      <c r="AX57" s="36">
        <v>2.0156839024931599E-3</v>
      </c>
      <c r="AY57" s="36">
        <v>1.93046122695096E-3</v>
      </c>
      <c r="AZ57" s="36">
        <v>2.1007812672103401E-3</v>
      </c>
      <c r="BA57" s="36">
        <v>1.7494591128174701E-3</v>
      </c>
      <c r="BB57" s="36">
        <v>2.0952816348365801E-3</v>
      </c>
      <c r="BC57" s="36">
        <v>2.07393333199777E-3</v>
      </c>
      <c r="BD57" s="6">
        <v>4.4331579999999997</v>
      </c>
      <c r="BE57" s="6">
        <v>4.6334289999999996</v>
      </c>
      <c r="BF57" s="6">
        <v>4.7882889999999998</v>
      </c>
      <c r="BG57" s="6">
        <v>4.7912499999999998</v>
      </c>
      <c r="BH57" s="6">
        <v>5.6755000000000004</v>
      </c>
      <c r="BI57" s="6">
        <v>5.6459460000000004</v>
      </c>
      <c r="BJ57" s="6">
        <v>4.8396939999999997</v>
      </c>
      <c r="BK57" s="6">
        <v>4.3975</v>
      </c>
      <c r="BL57" s="6">
        <v>4.95</v>
      </c>
      <c r="BM57" s="6">
        <v>5.118951</v>
      </c>
      <c r="BN57" s="6">
        <v>5.1825450000000002</v>
      </c>
      <c r="BO57" s="6">
        <v>4.5906599999999997</v>
      </c>
      <c r="BP57" s="6">
        <v>6.0053850000000004</v>
      </c>
      <c r="BQ57" s="6">
        <v>5.5869999999999997</v>
      </c>
      <c r="BR57" s="6">
        <v>5.4748279999999996</v>
      </c>
      <c r="BS57" s="6">
        <v>5.1726039999999998</v>
      </c>
      <c r="BT57" s="6">
        <v>5.6384619999999996</v>
      </c>
    </row>
    <row r="58" spans="1:72">
      <c r="A58" s="7" t="s">
        <v>330</v>
      </c>
      <c r="B58" s="1" t="s">
        <v>65</v>
      </c>
      <c r="C58" s="21">
        <v>0.31361544006814801</v>
      </c>
      <c r="D58" s="21">
        <v>2.4800226711888199E-2</v>
      </c>
      <c r="E58" s="10">
        <v>1.8915341621081399E-3</v>
      </c>
      <c r="F58" s="3">
        <v>3.7807234154068614E-3</v>
      </c>
      <c r="G58" s="3">
        <v>5.9459701492537302</v>
      </c>
      <c r="H58" s="1">
        <v>6.0836266499057299</v>
      </c>
      <c r="I58" s="3">
        <f t="shared" si="0"/>
        <v>-0.13765650065199964</v>
      </c>
      <c r="J58">
        <v>7</v>
      </c>
      <c r="K58">
        <v>4</v>
      </c>
      <c r="L58" s="1">
        <v>5.7962178276491999E-2</v>
      </c>
      <c r="M58" s="4">
        <v>17.252629727436801</v>
      </c>
      <c r="N58" s="21">
        <v>6.7303511379198104</v>
      </c>
      <c r="O58" s="21" t="s">
        <v>294</v>
      </c>
      <c r="P58" s="21">
        <v>0.31361544006814801</v>
      </c>
      <c r="Q58" s="21">
        <v>0</v>
      </c>
      <c r="R58" s="21">
        <v>0</v>
      </c>
      <c r="S58" s="21">
        <v>0</v>
      </c>
      <c r="T58">
        <v>0</v>
      </c>
      <c r="U58" s="21">
        <f t="shared" si="2"/>
        <v>5.9459701492537302</v>
      </c>
      <c r="V58" s="5">
        <v>3.7</v>
      </c>
      <c r="W58" s="5">
        <v>0</v>
      </c>
      <c r="X58" s="5">
        <v>3.7</v>
      </c>
      <c r="Y58" s="5">
        <v>3.7</v>
      </c>
      <c r="Z58" s="5">
        <v>5.2750000000000004</v>
      </c>
      <c r="AA58" s="5">
        <v>3.7</v>
      </c>
      <c r="AB58" s="5">
        <v>5.371429</v>
      </c>
      <c r="AC58" s="5">
        <v>7.7320000000000002</v>
      </c>
      <c r="AD58" s="5">
        <v>3.61</v>
      </c>
      <c r="AE58" s="5">
        <v>7.57</v>
      </c>
      <c r="AF58" s="5">
        <v>4.7300000000000004</v>
      </c>
      <c r="AG58" s="5">
        <v>5.5</v>
      </c>
      <c r="AH58" s="5">
        <v>6.4</v>
      </c>
      <c r="AI58" s="5">
        <v>6.4</v>
      </c>
      <c r="AJ58" s="5">
        <v>6.625</v>
      </c>
      <c r="AK58" s="5">
        <v>6.4749999999999996</v>
      </c>
      <c r="AL58" s="5">
        <v>6.31</v>
      </c>
      <c r="AM58" s="36">
        <v>4.9934861127787101E-3</v>
      </c>
      <c r="AN58" s="36">
        <v>2.01853149032099E-3</v>
      </c>
      <c r="AO58" s="36">
        <v>2.1863645512990798E-3</v>
      </c>
      <c r="AP58" s="36">
        <v>2.1188815634240001E-3</v>
      </c>
      <c r="AQ58" s="36">
        <v>2.0589964499448201E-3</v>
      </c>
      <c r="AR58" s="36">
        <v>1.86847197025281E-3</v>
      </c>
      <c r="AS58" s="36">
        <v>1.66944408991573E-3</v>
      </c>
      <c r="AT58" s="36">
        <v>1.8239146035605299E-3</v>
      </c>
      <c r="AU58" s="36">
        <v>1.62368127654616E-3</v>
      </c>
      <c r="AV58" s="36">
        <v>1.5995045573256399E-3</v>
      </c>
      <c r="AW58" s="36">
        <v>1.59300060937566E-3</v>
      </c>
      <c r="AX58" s="36">
        <v>1.7458678143356301E-3</v>
      </c>
      <c r="AY58" s="36">
        <v>1.6720529041224399E-3</v>
      </c>
      <c r="AZ58" s="36">
        <v>1.81957418762201E-3</v>
      </c>
      <c r="BA58" s="36">
        <v>1.5152794313564499E-3</v>
      </c>
      <c r="BB58" s="36">
        <v>1.8148107268729501E-3</v>
      </c>
      <c r="BC58" s="36">
        <v>1.79632007227633E-3</v>
      </c>
      <c r="BD58" s="6">
        <v>5.7592860000000003</v>
      </c>
      <c r="BE58" s="6">
        <v>5.8090000000000002</v>
      </c>
      <c r="BF58" s="6">
        <v>5.9735469999999999</v>
      </c>
      <c r="BG58" s="6">
        <v>6.2097730000000002</v>
      </c>
      <c r="BH58" s="6">
        <v>6.4834149999999999</v>
      </c>
      <c r="BI58" s="6">
        <v>5.9357319999999998</v>
      </c>
      <c r="BJ58" s="6">
        <v>5.9752270000000003</v>
      </c>
      <c r="BK58" s="6">
        <v>5.9597899999999999</v>
      </c>
      <c r="BL58" s="6">
        <v>5.9956620000000003</v>
      </c>
      <c r="BM58" s="6">
        <v>5.8006000000000002</v>
      </c>
      <c r="BN58" s="6">
        <v>6.2395189999999996</v>
      </c>
      <c r="BO58" s="6">
        <v>6.2575539999999998</v>
      </c>
      <c r="BP58" s="6">
        <v>6.1560670000000002</v>
      </c>
      <c r="BQ58" s="6">
        <v>6.2308620000000001</v>
      </c>
      <c r="BR58" s="6">
        <v>6.3740379999999996</v>
      </c>
      <c r="BS58" s="6">
        <v>6.1615580000000003</v>
      </c>
      <c r="BT58" s="6">
        <v>6.3293749999999998</v>
      </c>
    </row>
    <row r="59" spans="1:72">
      <c r="A59" s="7" t="s">
        <v>473</v>
      </c>
      <c r="B59" s="1" t="s">
        <v>66</v>
      </c>
      <c r="C59" s="21">
        <v>0.28429778354124202</v>
      </c>
      <c r="D59" s="21">
        <v>9.7830110173024107E-2</v>
      </c>
      <c r="E59" s="10">
        <v>1.714708209720256E-3</v>
      </c>
      <c r="F59" s="3">
        <v>1.06854103583117E-3</v>
      </c>
      <c r="G59" s="3">
        <v>5.9725000000000001</v>
      </c>
      <c r="H59" s="1">
        <v>6.21599378881987</v>
      </c>
      <c r="I59" s="3">
        <f t="shared" si="0"/>
        <v>-0.24349378881986983</v>
      </c>
      <c r="J59">
        <v>7</v>
      </c>
      <c r="K59">
        <v>4</v>
      </c>
      <c r="L59" s="1">
        <v>0.21867053842782799</v>
      </c>
      <c r="M59" s="4">
        <v>4.5730897595519</v>
      </c>
      <c r="N59" s="21">
        <v>6.4</v>
      </c>
      <c r="O59" s="21" t="s">
        <v>273</v>
      </c>
      <c r="P59" s="21">
        <v>28.207391599916601</v>
      </c>
      <c r="Q59" s="21">
        <v>9.64947133422751E-3</v>
      </c>
      <c r="R59" s="21">
        <v>0</v>
      </c>
      <c r="S59" s="21">
        <v>4.0664593722453402E-2</v>
      </c>
      <c r="T59">
        <v>4.0211058254543897</v>
      </c>
      <c r="U59" s="21">
        <f t="shared" si="2"/>
        <v>9.9936058254543898</v>
      </c>
      <c r="V59" s="5">
        <v>0</v>
      </c>
      <c r="W59" s="5">
        <v>0</v>
      </c>
      <c r="X59" s="5">
        <v>0</v>
      </c>
      <c r="Y59" s="5">
        <v>0</v>
      </c>
      <c r="Z59" s="5">
        <v>7.03</v>
      </c>
      <c r="AA59" s="5">
        <v>0</v>
      </c>
      <c r="AB59" s="5">
        <v>6.85</v>
      </c>
      <c r="AC59" s="5">
        <v>0</v>
      </c>
      <c r="AD59" s="5">
        <v>0</v>
      </c>
      <c r="AE59" s="5">
        <v>0</v>
      </c>
      <c r="AF59" s="5">
        <v>6.4</v>
      </c>
      <c r="AG59" s="5">
        <v>2.8</v>
      </c>
      <c r="AH59" s="5">
        <v>0</v>
      </c>
      <c r="AI59" s="5">
        <v>0</v>
      </c>
      <c r="AJ59" s="5">
        <v>0</v>
      </c>
      <c r="AK59" s="5">
        <v>5.7249999999999996</v>
      </c>
      <c r="AL59" s="5">
        <v>0</v>
      </c>
      <c r="AM59" s="36">
        <v>4.5266809366862702E-3</v>
      </c>
      <c r="AN59" s="36">
        <v>1.8298334692378601E-3</v>
      </c>
      <c r="AO59" s="36">
        <v>1.9819770219616801E-3</v>
      </c>
      <c r="AP59" s="36">
        <v>1.9208025342659901E-3</v>
      </c>
      <c r="AQ59" s="36">
        <v>1.8665156502224399E-3</v>
      </c>
      <c r="AR59" s="36">
        <v>1.69380193665332E-3</v>
      </c>
      <c r="AS59" s="36">
        <v>1.5133797443325301E-3</v>
      </c>
      <c r="AT59" s="36">
        <v>1.6534099183639901E-3</v>
      </c>
      <c r="AU59" s="36">
        <v>1.47189496792372E-3</v>
      </c>
      <c r="AV59" s="36">
        <v>1.4499783566554699E-3</v>
      </c>
      <c r="AW59" s="36">
        <v>1.4440824161174499E-3</v>
      </c>
      <c r="AX59" s="36">
        <v>1.5826591632853201E-3</v>
      </c>
      <c r="AY59" s="36">
        <v>1.51574467922374E-3</v>
      </c>
      <c r="AZ59" s="36">
        <v>1.6494752567583601E-3</v>
      </c>
      <c r="BA59" s="36">
        <v>1.37362683318992E-3</v>
      </c>
      <c r="BB59" s="36">
        <v>1.6451570977651399E-3</v>
      </c>
      <c r="BC59" s="36">
        <v>1.6283950017506601E-3</v>
      </c>
      <c r="BD59" s="6">
        <v>7.6</v>
      </c>
      <c r="BE59" s="6">
        <v>7.12</v>
      </c>
      <c r="BF59" s="6">
        <v>5.77</v>
      </c>
      <c r="BG59" s="6">
        <v>6.22</v>
      </c>
      <c r="BH59" s="6">
        <v>4.24</v>
      </c>
      <c r="BI59" s="6">
        <v>6.2125000000000004</v>
      </c>
      <c r="BJ59" s="6">
        <v>7.3794120000000003</v>
      </c>
      <c r="BK59" s="6">
        <v>6.0142860000000002</v>
      </c>
      <c r="BL59" s="6">
        <v>6.9320589999999997</v>
      </c>
      <c r="BM59" s="6">
        <v>5.69</v>
      </c>
      <c r="BN59" s="6">
        <v>5.5321429999999996</v>
      </c>
      <c r="BO59" s="6">
        <v>5.6</v>
      </c>
      <c r="BP59" s="6">
        <v>7.39</v>
      </c>
      <c r="BQ59" s="6">
        <v>6.55</v>
      </c>
      <c r="BR59" s="6">
        <v>7.0750000000000002</v>
      </c>
      <c r="BS59" s="6">
        <v>5.05</v>
      </c>
      <c r="BT59" s="6">
        <v>5.2</v>
      </c>
    </row>
    <row r="60" spans="1:72">
      <c r="A60" s="7" t="s">
        <v>332</v>
      </c>
      <c r="B60" s="1" t="s">
        <v>67</v>
      </c>
      <c r="C60" s="21">
        <v>0.289367687748883</v>
      </c>
      <c r="D60" s="21">
        <v>3.6195507491884299E-2</v>
      </c>
      <c r="E60" s="10">
        <v>3.592946922693358E-3</v>
      </c>
      <c r="F60" s="3">
        <v>1.3536317035141639E-3</v>
      </c>
      <c r="G60" s="3">
        <v>5.2829411764705902</v>
      </c>
      <c r="H60" s="1">
        <v>5.3910283400809504</v>
      </c>
      <c r="I60" s="3">
        <f t="shared" si="0"/>
        <v>-0.10808716361036019</v>
      </c>
      <c r="J60">
        <v>3</v>
      </c>
      <c r="K60">
        <v>2</v>
      </c>
      <c r="L60" s="1">
        <v>3.7986291955974097E-2</v>
      </c>
      <c r="M60" s="4">
        <v>26.325286004724902</v>
      </c>
      <c r="N60" s="21">
        <v>6.4054437917389198</v>
      </c>
      <c r="O60" s="21" t="s">
        <v>294</v>
      </c>
      <c r="P60" s="21">
        <v>0.289367687748883</v>
      </c>
      <c r="Q60" s="21">
        <v>0</v>
      </c>
      <c r="R60" s="21">
        <v>0</v>
      </c>
      <c r="S60" s="21">
        <v>0</v>
      </c>
      <c r="T60">
        <v>0</v>
      </c>
      <c r="U60" s="21">
        <f t="shared" si="2"/>
        <v>5.2829411764705902</v>
      </c>
      <c r="V60" s="5">
        <v>0</v>
      </c>
      <c r="W60" s="5">
        <v>5.8</v>
      </c>
      <c r="X60" s="5">
        <v>4.87</v>
      </c>
      <c r="Y60" s="5">
        <v>5.5674999999999999</v>
      </c>
      <c r="Z60" s="5">
        <v>0</v>
      </c>
      <c r="AA60" s="5">
        <v>6.1</v>
      </c>
      <c r="AB60" s="5">
        <v>4.24</v>
      </c>
      <c r="AC60" s="5">
        <v>6.46</v>
      </c>
      <c r="AD60" s="5">
        <v>0</v>
      </c>
      <c r="AE60" s="5">
        <v>4.96</v>
      </c>
      <c r="AF60" s="5">
        <v>4.3</v>
      </c>
      <c r="AG60" s="5">
        <v>0</v>
      </c>
      <c r="AH60" s="5">
        <v>0</v>
      </c>
      <c r="AI60" s="5">
        <v>0</v>
      </c>
      <c r="AJ60" s="5">
        <v>3.835</v>
      </c>
      <c r="AK60" s="5">
        <v>6.04</v>
      </c>
      <c r="AL60" s="5">
        <v>4.66</v>
      </c>
      <c r="AM60" s="36">
        <v>8.5081222251525198E-3</v>
      </c>
      <c r="AN60" s="36">
        <v>3.4392631214135E-3</v>
      </c>
      <c r="AO60" s="36">
        <v>3.72522450469818E-3</v>
      </c>
      <c r="AP60" s="36">
        <v>3.6102440089097998E-3</v>
      </c>
      <c r="AQ60" s="36">
        <v>3.5082091071516599E-3</v>
      </c>
      <c r="AR60" s="36">
        <v>3.18358508227356E-3</v>
      </c>
      <c r="AS60" s="36">
        <v>2.8444725877404299E-3</v>
      </c>
      <c r="AT60" s="36">
        <v>3.1076662725909301E-3</v>
      </c>
      <c r="AU60" s="36">
        <v>2.7664998847586899E-3</v>
      </c>
      <c r="AV60" s="36">
        <v>2.7253065225492602E-3</v>
      </c>
      <c r="AW60" s="36">
        <v>2.7142248087215701E-3</v>
      </c>
      <c r="AX60" s="36">
        <v>2.9746867054090301E-3</v>
      </c>
      <c r="AY60" s="36">
        <v>2.8489176006296401E-3</v>
      </c>
      <c r="AZ60" s="36">
        <v>3.1002708801779102E-3</v>
      </c>
      <c r="BA60" s="36">
        <v>2.5818000322957199E-3</v>
      </c>
      <c r="BB60" s="36">
        <v>3.0921546853288E-3</v>
      </c>
      <c r="BC60" s="36">
        <v>3.06064949120629E-3</v>
      </c>
      <c r="BD60" s="6">
        <v>5.3244999999999996</v>
      </c>
      <c r="BE60" s="6">
        <v>5.4355000000000002</v>
      </c>
      <c r="BF60" s="6">
        <v>5.3531579999999996</v>
      </c>
      <c r="BG60" s="6">
        <v>5.8233329999999999</v>
      </c>
      <c r="BH60" s="6">
        <v>5.382727</v>
      </c>
      <c r="BI60" s="6">
        <v>5.4484209999999997</v>
      </c>
      <c r="BJ60" s="6">
        <v>5.2365519999999997</v>
      </c>
      <c r="BK60" s="6">
        <v>5.3287100000000001</v>
      </c>
      <c r="BL60" s="6">
        <v>5.16533</v>
      </c>
      <c r="BM60" s="6">
        <v>5.6557719999999998</v>
      </c>
      <c r="BN60" s="6">
        <v>5.456734</v>
      </c>
      <c r="BO60" s="6">
        <v>5.4712949999999996</v>
      </c>
      <c r="BP60" s="6">
        <v>5.2429730000000001</v>
      </c>
      <c r="BQ60" s="6">
        <v>5.2619999999999996</v>
      </c>
      <c r="BR60" s="6">
        <v>5.2666279999999999</v>
      </c>
      <c r="BS60" s="6">
        <v>5.0358330000000002</v>
      </c>
      <c r="BT60" s="6">
        <v>5.3095610000000004</v>
      </c>
    </row>
    <row r="61" spans="1:72">
      <c r="A61" s="7" t="s">
        <v>333</v>
      </c>
      <c r="B61" s="1" t="s">
        <v>68</v>
      </c>
      <c r="C61" s="21">
        <v>0.37183774706129302</v>
      </c>
      <c r="D61" s="21">
        <v>1.27209206482374E-2</v>
      </c>
      <c r="E61" s="10">
        <v>2.2426950700352188E-3</v>
      </c>
      <c r="F61" s="3">
        <v>8.29726650694298E-3</v>
      </c>
      <c r="G61" s="3">
        <v>6.6982283464566903</v>
      </c>
      <c r="H61" s="1">
        <v>6.96328203895151</v>
      </c>
      <c r="I61" s="3">
        <f t="shared" si="0"/>
        <v>-0.26505369249481969</v>
      </c>
      <c r="J61">
        <v>3</v>
      </c>
      <c r="K61">
        <v>2</v>
      </c>
      <c r="L61" s="1">
        <v>7.1589076474191299E-2</v>
      </c>
      <c r="M61" s="4">
        <v>13.9686115431383</v>
      </c>
      <c r="N61" s="21">
        <v>6.9835365595424497</v>
      </c>
      <c r="O61" s="21" t="s">
        <v>294</v>
      </c>
      <c r="P61" s="21">
        <v>0.37183774706129302</v>
      </c>
      <c r="Q61" s="21">
        <v>0</v>
      </c>
      <c r="R61" s="21">
        <v>0</v>
      </c>
      <c r="S61" s="21">
        <v>0</v>
      </c>
      <c r="T61">
        <v>0</v>
      </c>
      <c r="U61" s="21">
        <f t="shared" si="2"/>
        <v>6.6982283464566903</v>
      </c>
      <c r="V61" s="5">
        <v>9.5500000000000007</v>
      </c>
      <c r="W61" s="5">
        <v>5.9950000000000001</v>
      </c>
      <c r="X61" s="5">
        <v>7.1312499999999996</v>
      </c>
      <c r="Y61" s="5">
        <v>3.67</v>
      </c>
      <c r="Z61" s="5">
        <v>8.1999999999999993</v>
      </c>
      <c r="AA61" s="5">
        <v>8.3620000000000001</v>
      </c>
      <c r="AB61" s="5">
        <v>6.9039999999999999</v>
      </c>
      <c r="AC61" s="5">
        <v>5.5883330000000004</v>
      </c>
      <c r="AD61" s="5">
        <v>7.3650000000000002</v>
      </c>
      <c r="AE61" s="5">
        <v>6.1576919999999999</v>
      </c>
      <c r="AF61" s="5">
        <v>6.28</v>
      </c>
      <c r="AG61" s="5">
        <v>5.5562500000000004</v>
      </c>
      <c r="AH61" s="5">
        <v>6.387143</v>
      </c>
      <c r="AI61" s="5">
        <v>6.931</v>
      </c>
      <c r="AJ61" s="5">
        <v>8.0500000000000007</v>
      </c>
      <c r="AK61" s="5">
        <v>7.6779999999999999</v>
      </c>
      <c r="AL61" s="5">
        <v>6.202</v>
      </c>
      <c r="AM61" s="36">
        <v>5.92052044935677E-3</v>
      </c>
      <c r="AN61" s="36">
        <v>2.3932692904728701E-3</v>
      </c>
      <c r="AO61" s="36">
        <v>2.5922603454506801E-3</v>
      </c>
      <c r="AP61" s="36">
        <v>2.5122492268304301E-3</v>
      </c>
      <c r="AQ61" s="36">
        <v>2.4412465183101801E-3</v>
      </c>
      <c r="AR61" s="36">
        <v>2.2153514116365299E-3</v>
      </c>
      <c r="AS61" s="36">
        <v>1.9793742588189102E-3</v>
      </c>
      <c r="AT61" s="36">
        <v>2.1625220265710401E-3</v>
      </c>
      <c r="AU61" s="36">
        <v>1.9251156374358899E-3</v>
      </c>
      <c r="AV61" s="36">
        <v>1.8964505410862299E-3</v>
      </c>
      <c r="AW61" s="36">
        <v>1.8887391434835E-3</v>
      </c>
      <c r="AX61" s="36">
        <v>2.06998595033561E-3</v>
      </c>
      <c r="AY61" s="36">
        <v>1.9824673960602201E-3</v>
      </c>
      <c r="AZ61" s="36">
        <v>2.1573758179419698E-3</v>
      </c>
      <c r="BA61" s="36">
        <v>1.7965891277593601E-3</v>
      </c>
      <c r="BB61" s="36">
        <v>2.15172802677212E-3</v>
      </c>
      <c r="BC61" s="36">
        <v>2.12980460570139E-3</v>
      </c>
      <c r="BD61" s="6">
        <v>7.0874040000000003</v>
      </c>
      <c r="BE61" s="6">
        <v>6.6719999999999997</v>
      </c>
      <c r="BF61" s="6">
        <v>7.3804610000000004</v>
      </c>
      <c r="BG61" s="6">
        <v>7.5951829999999996</v>
      </c>
      <c r="BH61" s="6">
        <v>7.1202810000000003</v>
      </c>
      <c r="BI61" s="6">
        <v>6.9947020000000002</v>
      </c>
      <c r="BJ61" s="6">
        <v>6.7621079999999996</v>
      </c>
      <c r="BK61" s="6">
        <v>6.7778539999999996</v>
      </c>
      <c r="BL61" s="6">
        <v>6.7711110000000003</v>
      </c>
      <c r="BM61" s="6">
        <v>6.7717150000000004</v>
      </c>
      <c r="BN61" s="6">
        <v>6.9871470000000002</v>
      </c>
      <c r="BO61" s="6">
        <v>6.911969</v>
      </c>
      <c r="BP61" s="6">
        <v>6.9491969999999998</v>
      </c>
      <c r="BQ61" s="6">
        <v>7.133966</v>
      </c>
      <c r="BR61" s="6">
        <v>7.2328260000000002</v>
      </c>
      <c r="BS61" s="6">
        <v>6.9698880000000001</v>
      </c>
      <c r="BT61" s="6">
        <v>7.000896</v>
      </c>
    </row>
    <row r="62" spans="1:72">
      <c r="A62" s="7" t="s">
        <v>334</v>
      </c>
      <c r="B62" s="1" t="s">
        <v>69</v>
      </c>
      <c r="C62" s="21">
        <v>0.18034748070671799</v>
      </c>
      <c r="D62" s="21">
        <v>1.39091521196766E-2</v>
      </c>
      <c r="E62" s="10">
        <v>2.3909742322537082E-3</v>
      </c>
      <c r="F62" s="3">
        <v>8.8333048241712887E-3</v>
      </c>
      <c r="G62" s="3">
        <v>8.3133566433566308</v>
      </c>
      <c r="H62" s="1">
        <v>8.0429827653741306</v>
      </c>
      <c r="I62" s="3">
        <f t="shared" si="0"/>
        <v>0.27037387798250023</v>
      </c>
      <c r="J62">
        <v>1</v>
      </c>
      <c r="K62">
        <v>2</v>
      </c>
      <c r="L62" s="1">
        <v>5.3636312326972503E-2</v>
      </c>
      <c r="M62" s="4">
        <v>18.644085631836401</v>
      </c>
      <c r="N62" s="21">
        <v>6.3809703734708298</v>
      </c>
      <c r="O62" s="21" t="s">
        <v>294</v>
      </c>
      <c r="P62" s="21">
        <v>0.18034748070671799</v>
      </c>
      <c r="Q62" s="21">
        <v>0</v>
      </c>
      <c r="R62" s="21">
        <v>0</v>
      </c>
      <c r="S62" s="21">
        <v>0</v>
      </c>
      <c r="T62">
        <v>0</v>
      </c>
      <c r="U62" s="21">
        <f t="shared" si="2"/>
        <v>8.3133566433566308</v>
      </c>
      <c r="V62" s="5">
        <v>8.5374999999999996</v>
      </c>
      <c r="W62" s="5">
        <v>7.84</v>
      </c>
      <c r="X62" s="5">
        <v>8.5824999999999996</v>
      </c>
      <c r="Y62" s="5">
        <v>6.3550000000000004</v>
      </c>
      <c r="Z62" s="5">
        <v>0</v>
      </c>
      <c r="AA62" s="5">
        <v>8.65</v>
      </c>
      <c r="AB62" s="5">
        <v>7.7692860000000001</v>
      </c>
      <c r="AC62" s="5">
        <v>8.0071429999999992</v>
      </c>
      <c r="AD62" s="5">
        <v>7.609375</v>
      </c>
      <c r="AE62" s="5">
        <v>8.7750000000000004</v>
      </c>
      <c r="AF62" s="5">
        <v>8.7937499999999993</v>
      </c>
      <c r="AG62" s="5">
        <v>7.9666670000000002</v>
      </c>
      <c r="AH62" s="5">
        <v>8.3772730000000006</v>
      </c>
      <c r="AI62" s="5">
        <v>8.6950000000000003</v>
      </c>
      <c r="AJ62" s="5">
        <v>7.93</v>
      </c>
      <c r="AK62" s="5">
        <v>8.6140000000000008</v>
      </c>
      <c r="AL62" s="5">
        <v>9.5500000000000007</v>
      </c>
      <c r="AM62" s="36">
        <v>6.1219430275775604E-3</v>
      </c>
      <c r="AN62" s="36">
        <v>2.4746909281459701E-3</v>
      </c>
      <c r="AO62" s="36">
        <v>2.6804518763585698E-3</v>
      </c>
      <c r="AP62" s="36">
        <v>2.5977186920117098E-3</v>
      </c>
      <c r="AQ62" s="36">
        <v>2.5243003937247999E-3</v>
      </c>
      <c r="AR62" s="36">
        <v>2.29072008856516E-3</v>
      </c>
      <c r="AS62" s="36">
        <v>2.0467147350296702E-3</v>
      </c>
      <c r="AT62" s="36">
        <v>2.2360933900646899E-3</v>
      </c>
      <c r="AU62" s="36">
        <v>1.9906101760296399E-3</v>
      </c>
      <c r="AV62" s="36">
        <v>1.9609698617644201E-3</v>
      </c>
      <c r="AW62" s="36">
        <v>1.95299611398485E-3</v>
      </c>
      <c r="AX62" s="36">
        <v>2.1404091353518402E-3</v>
      </c>
      <c r="AY62" s="36">
        <v>2.0499131041814499E-3</v>
      </c>
      <c r="AZ62" s="36">
        <v>2.2307721017920199E-3</v>
      </c>
      <c r="BA62" s="36">
        <v>1.8577110539839501E-3</v>
      </c>
      <c r="BB62" s="36">
        <v>2.2249321665922099E-3</v>
      </c>
      <c r="BC62" s="36">
        <v>2.2022628867691498E-3</v>
      </c>
      <c r="BD62" s="6">
        <v>8.1609090000000002</v>
      </c>
      <c r="BE62" s="6">
        <v>7.8295760000000003</v>
      </c>
      <c r="BF62" s="6">
        <v>8.1760000000000002</v>
      </c>
      <c r="BG62" s="6">
        <v>8.1507609999999993</v>
      </c>
      <c r="BH62" s="6">
        <v>8.2039080000000002</v>
      </c>
      <c r="BI62" s="6">
        <v>7.8445229999999997</v>
      </c>
      <c r="BJ62" s="6">
        <v>7.7908090000000003</v>
      </c>
      <c r="BK62" s="6">
        <v>7.9098389999999998</v>
      </c>
      <c r="BL62" s="6">
        <v>7.9420650000000004</v>
      </c>
      <c r="BM62" s="6">
        <v>7.9955920000000003</v>
      </c>
      <c r="BN62" s="6">
        <v>8.0699660000000009</v>
      </c>
      <c r="BO62" s="6">
        <v>8.0808090000000004</v>
      </c>
      <c r="BP62" s="6">
        <v>8.0436390000000006</v>
      </c>
      <c r="BQ62" s="6">
        <v>8.0169320000000006</v>
      </c>
      <c r="BR62" s="6">
        <v>8.2634179999999997</v>
      </c>
      <c r="BS62" s="6">
        <v>8.1603929999999991</v>
      </c>
      <c r="BT62" s="6">
        <v>8.2901849999999992</v>
      </c>
    </row>
    <row r="63" spans="1:72">
      <c r="A63" s="7" t="s">
        <v>335</v>
      </c>
      <c r="B63" s="1" t="s">
        <v>70</v>
      </c>
      <c r="C63" s="21">
        <v>0.35921468235790799</v>
      </c>
      <c r="D63" s="21">
        <v>7.8458283718293401E-2</v>
      </c>
      <c r="E63" s="10">
        <v>2.1665605592095859E-3</v>
      </c>
      <c r="F63" s="3">
        <v>9.9237906598566858E-4</v>
      </c>
      <c r="G63" s="3">
        <v>5.1849999999999996</v>
      </c>
      <c r="H63" s="1">
        <v>5.8234090909090899</v>
      </c>
      <c r="I63" s="3">
        <f t="shared" si="0"/>
        <v>-0.63840909090909026</v>
      </c>
      <c r="J63">
        <v>3</v>
      </c>
      <c r="K63">
        <v>2</v>
      </c>
      <c r="L63" s="1">
        <v>0.169064960558241</v>
      </c>
      <c r="M63" s="4">
        <v>5.9148861875226402</v>
      </c>
      <c r="N63" s="21">
        <v>5.5</v>
      </c>
      <c r="O63" s="21" t="s">
        <v>294</v>
      </c>
      <c r="P63" s="21">
        <v>0.35921468235790799</v>
      </c>
      <c r="Q63" s="21">
        <v>0</v>
      </c>
      <c r="R63" s="21">
        <v>0</v>
      </c>
      <c r="S63" s="21">
        <v>0</v>
      </c>
      <c r="T63">
        <v>4.8150000000000004</v>
      </c>
      <c r="U63" s="21">
        <f t="shared" si="2"/>
        <v>10</v>
      </c>
      <c r="V63" s="5">
        <v>0</v>
      </c>
      <c r="W63" s="5">
        <v>3.7</v>
      </c>
      <c r="X63" s="5">
        <v>0</v>
      </c>
      <c r="Y63" s="5">
        <v>5.5</v>
      </c>
      <c r="Z63" s="5">
        <v>0</v>
      </c>
      <c r="AA63" s="5">
        <v>5.5</v>
      </c>
      <c r="AB63" s="5">
        <v>0</v>
      </c>
      <c r="AC63" s="5">
        <v>4.375</v>
      </c>
      <c r="AD63" s="5">
        <v>0</v>
      </c>
      <c r="AE63" s="5">
        <v>0</v>
      </c>
      <c r="AF63" s="5">
        <v>5.5</v>
      </c>
      <c r="AG63" s="5">
        <v>0</v>
      </c>
      <c r="AH63" s="5">
        <v>0</v>
      </c>
      <c r="AI63" s="5">
        <v>0</v>
      </c>
      <c r="AJ63" s="5">
        <v>7.5250000000000004</v>
      </c>
      <c r="AK63" s="5">
        <v>0</v>
      </c>
      <c r="AL63" s="5">
        <v>3.61</v>
      </c>
      <c r="AM63" s="36">
        <v>5.7195319448259804E-3</v>
      </c>
      <c r="AN63" s="36">
        <v>2.3120231196765398E-3</v>
      </c>
      <c r="AO63" s="36">
        <v>2.5042588708095201E-3</v>
      </c>
      <c r="AP63" s="36">
        <v>2.4269639517556498E-3</v>
      </c>
      <c r="AQ63" s="36">
        <v>2.3583716273097698E-3</v>
      </c>
      <c r="AR63" s="36">
        <v>2.1401451572128399E-3</v>
      </c>
      <c r="AS63" s="36">
        <v>1.91217890402034E-3</v>
      </c>
      <c r="AT63" s="36">
        <v>2.08910921230019E-3</v>
      </c>
      <c r="AU63" s="36">
        <v>1.8597622421851201E-3</v>
      </c>
      <c r="AV63" s="36">
        <v>1.83207026211753E-3</v>
      </c>
      <c r="AW63" s="36">
        <v>1.8246206493165299E-3</v>
      </c>
      <c r="AX63" s="36">
        <v>1.9997145300919899E-3</v>
      </c>
      <c r="AY63" s="36">
        <v>1.9151670361301301E-3</v>
      </c>
      <c r="AZ63" s="36">
        <v>2.0841377060110901E-3</v>
      </c>
      <c r="BA63" s="36">
        <v>1.7355989217237001E-3</v>
      </c>
      <c r="BB63" s="36">
        <v>2.07868164479317E-3</v>
      </c>
      <c r="BC63" s="36">
        <v>2.0575024751194101E-3</v>
      </c>
      <c r="BD63" s="6">
        <v>6.1749999999999998</v>
      </c>
      <c r="BE63" s="6">
        <v>4.3428570000000004</v>
      </c>
      <c r="BF63" s="6">
        <v>5.9594740000000002</v>
      </c>
      <c r="BG63" s="6">
        <v>5.9628569999999996</v>
      </c>
      <c r="BH63" s="6">
        <v>6.1054550000000001</v>
      </c>
      <c r="BI63" s="6">
        <v>6.2705260000000003</v>
      </c>
      <c r="BJ63" s="6">
        <v>5.5591429999999997</v>
      </c>
      <c r="BK63" s="6">
        <v>5.7682000000000002</v>
      </c>
      <c r="BL63" s="6">
        <v>6.3196430000000001</v>
      </c>
      <c r="BM63" s="6">
        <v>5.6219999999999999</v>
      </c>
      <c r="BN63" s="6">
        <v>5.7515910000000003</v>
      </c>
      <c r="BO63" s="6">
        <v>6.3906450000000001</v>
      </c>
      <c r="BP63" s="6">
        <v>5.2378260000000001</v>
      </c>
      <c r="BQ63" s="6">
        <v>5.5</v>
      </c>
      <c r="BR63" s="6">
        <v>6.1749999999999998</v>
      </c>
      <c r="BS63" s="6">
        <v>6.4562499999999998</v>
      </c>
      <c r="BT63" s="6">
        <v>5.14</v>
      </c>
    </row>
    <row r="64" spans="1:72">
      <c r="A64" s="7" t="s">
        <v>336</v>
      </c>
      <c r="B64" s="1" t="s">
        <v>71</v>
      </c>
      <c r="C64" s="21">
        <v>0.34591010266436001</v>
      </c>
      <c r="D64" s="21">
        <v>6.0374432223169502E-2</v>
      </c>
      <c r="E64" s="10">
        <v>2.3655422589656211E-3</v>
      </c>
      <c r="F64" s="3">
        <v>1.4867522141139209E-3</v>
      </c>
      <c r="G64" s="3">
        <v>6.0306249999999997</v>
      </c>
      <c r="H64" s="1">
        <v>6.0947685624012697</v>
      </c>
      <c r="I64" s="3">
        <f t="shared" si="0"/>
        <v>-6.414356240127006E-2</v>
      </c>
      <c r="J64">
        <v>3</v>
      </c>
      <c r="K64">
        <v>2</v>
      </c>
      <c r="L64" s="1">
        <v>7.1655265359372305E-2</v>
      </c>
      <c r="M64" s="4">
        <v>13.9557085579783</v>
      </c>
      <c r="N64" s="21">
        <v>6.5395167810663501</v>
      </c>
      <c r="O64" s="21" t="s">
        <v>294</v>
      </c>
      <c r="P64" s="21">
        <v>0.34591010266436001</v>
      </c>
      <c r="Q64" s="21">
        <v>0</v>
      </c>
      <c r="R64" s="21">
        <v>0</v>
      </c>
      <c r="S64" s="21">
        <v>0</v>
      </c>
      <c r="T64">
        <v>0</v>
      </c>
      <c r="U64" s="21">
        <f t="shared" si="2"/>
        <v>6.0306249999999997</v>
      </c>
      <c r="V64" s="5">
        <v>5.5</v>
      </c>
      <c r="W64" s="5">
        <v>9.5500000000000007</v>
      </c>
      <c r="X64" s="5">
        <v>7.5250000000000004</v>
      </c>
      <c r="Y64" s="5">
        <v>3.61</v>
      </c>
      <c r="Z64" s="5">
        <v>9.5500000000000007</v>
      </c>
      <c r="AA64" s="5">
        <v>4.5999999999999996</v>
      </c>
      <c r="AB64" s="5">
        <v>7.5250000000000004</v>
      </c>
      <c r="AC64" s="5">
        <v>5.5</v>
      </c>
      <c r="AD64" s="5">
        <v>4.5999999999999996</v>
      </c>
      <c r="AE64" s="5">
        <v>0</v>
      </c>
      <c r="AF64" s="5">
        <v>5.5</v>
      </c>
      <c r="AG64" s="5">
        <v>5.5</v>
      </c>
      <c r="AH64" s="5">
        <v>0</v>
      </c>
      <c r="AI64" s="5">
        <v>0</v>
      </c>
      <c r="AJ64" s="5">
        <v>7.5250000000000004</v>
      </c>
      <c r="AK64" s="5">
        <v>4.375</v>
      </c>
      <c r="AL64" s="5">
        <v>8.65</v>
      </c>
      <c r="AM64" s="36">
        <v>6.1720999148305901E-3</v>
      </c>
      <c r="AN64" s="36">
        <v>2.4949659933188998E-3</v>
      </c>
      <c r="AO64" s="36">
        <v>2.7024127345279501E-3</v>
      </c>
      <c r="AP64" s="36">
        <v>2.6190017197960901E-3</v>
      </c>
      <c r="AQ64" s="36">
        <v>2.5449819076935601E-3</v>
      </c>
      <c r="AR64" s="36">
        <v>2.30948788641836E-3</v>
      </c>
      <c r="AS64" s="36">
        <v>2.0634834046728699E-3</v>
      </c>
      <c r="AT64" s="36">
        <v>2.2544136330900598E-3</v>
      </c>
      <c r="AU64" s="36">
        <v>2.0069191827802898E-3</v>
      </c>
      <c r="AV64" s="36">
        <v>1.9770360263497498E-3</v>
      </c>
      <c r="AW64" s="36">
        <v>1.9689969499046699E-3</v>
      </c>
      <c r="AX64" s="36">
        <v>2.15794544027882E-3</v>
      </c>
      <c r="AY64" s="36">
        <v>2.0667079779628302E-3</v>
      </c>
      <c r="AZ64" s="36">
        <v>2.2490487476694498E-3</v>
      </c>
      <c r="BA64" s="36">
        <v>1.8729312223951301E-3</v>
      </c>
      <c r="BB64" s="36">
        <v>2.2431609660636702E-3</v>
      </c>
      <c r="BC64" s="36">
        <v>2.2203059575418801E-3</v>
      </c>
      <c r="BD64" s="6">
        <v>5.59</v>
      </c>
      <c r="BE64" s="6">
        <v>6.2445449999999996</v>
      </c>
      <c r="BF64" s="6">
        <v>6.0183999999999997</v>
      </c>
      <c r="BG64" s="6">
        <v>6.4128569999999998</v>
      </c>
      <c r="BH64" s="6">
        <v>7.0081429999999996</v>
      </c>
      <c r="BI64" s="6">
        <v>6.0689289999999998</v>
      </c>
      <c r="BJ64" s="6">
        <v>5.9077549999999999</v>
      </c>
      <c r="BK64" s="6">
        <v>6.2096720000000003</v>
      </c>
      <c r="BL64" s="6">
        <v>5.4122620000000001</v>
      </c>
      <c r="BM64" s="6">
        <v>6.3685710000000002</v>
      </c>
      <c r="BN64" s="6">
        <v>6.2726420000000003</v>
      </c>
      <c r="BO64" s="6">
        <v>5.5817750000000004</v>
      </c>
      <c r="BP64" s="6">
        <v>6.4717779999999996</v>
      </c>
      <c r="BQ64" s="6">
        <v>5.616136</v>
      </c>
      <c r="BR64" s="6">
        <v>6.7773079999999997</v>
      </c>
      <c r="BS64" s="6">
        <v>6.0135709999999998</v>
      </c>
      <c r="BT64" s="6">
        <v>6.1585000000000001</v>
      </c>
    </row>
    <row r="65" spans="1:72">
      <c r="A65" s="7" t="s">
        <v>337</v>
      </c>
      <c r="B65" s="1" t="s">
        <v>72</v>
      </c>
      <c r="C65" s="21">
        <v>0.33326144861659202</v>
      </c>
      <c r="D65" s="21">
        <v>2.7429011563521399E-2</v>
      </c>
      <c r="E65" s="10">
        <v>2.0248081072216152E-3</v>
      </c>
      <c r="F65" s="3">
        <v>1.635848091564462E-3</v>
      </c>
      <c r="G65" s="3">
        <v>5.1353846153846199</v>
      </c>
      <c r="H65" s="1">
        <v>5.19756837098695</v>
      </c>
      <c r="I65" s="3">
        <f t="shared" si="0"/>
        <v>-6.2183755602330137E-2</v>
      </c>
      <c r="J65">
        <v>3</v>
      </c>
      <c r="K65">
        <v>2</v>
      </c>
      <c r="L65" s="1">
        <v>7.8044597131395194E-2</v>
      </c>
      <c r="M65" s="4">
        <v>12.8131867772526</v>
      </c>
      <c r="N65" s="21">
        <v>6.3881366332513601</v>
      </c>
      <c r="O65" s="21" t="s">
        <v>294</v>
      </c>
      <c r="P65" s="21">
        <v>0.33326144861659202</v>
      </c>
      <c r="Q65" s="21">
        <v>0</v>
      </c>
      <c r="R65" s="21">
        <v>0</v>
      </c>
      <c r="S65" s="21">
        <v>0</v>
      </c>
      <c r="T65">
        <v>0</v>
      </c>
      <c r="U65" s="21">
        <f t="shared" si="2"/>
        <v>5.1353846153846199</v>
      </c>
      <c r="V65" s="5">
        <v>0</v>
      </c>
      <c r="W65" s="5">
        <v>7.57</v>
      </c>
      <c r="X65" s="5">
        <v>3.61</v>
      </c>
      <c r="Y65" s="5">
        <v>4.1500000000000004</v>
      </c>
      <c r="Z65" s="5">
        <v>2.71</v>
      </c>
      <c r="AA65" s="5">
        <v>4.915</v>
      </c>
      <c r="AB65" s="5">
        <v>5.9950000000000001</v>
      </c>
      <c r="AC65" s="5">
        <v>4.5999999999999996</v>
      </c>
      <c r="AD65" s="5">
        <v>6.64</v>
      </c>
      <c r="AE65" s="5">
        <v>5.62</v>
      </c>
      <c r="AF65" s="5">
        <v>3.61</v>
      </c>
      <c r="AG65" s="5">
        <v>7.5250000000000004</v>
      </c>
      <c r="AH65" s="5">
        <v>3.2050000000000001</v>
      </c>
      <c r="AI65" s="5">
        <v>3.25</v>
      </c>
      <c r="AJ65" s="5">
        <v>3.25</v>
      </c>
      <c r="AK65" s="5">
        <v>2.71</v>
      </c>
      <c r="AL65" s="5">
        <v>5.65</v>
      </c>
      <c r="AM65" s="36">
        <v>5.8521762398567904E-3</v>
      </c>
      <c r="AN65" s="36">
        <v>2.3656423108556102E-3</v>
      </c>
      <c r="AO65" s="36">
        <v>2.5623362896783201E-3</v>
      </c>
      <c r="AP65" s="36">
        <v>2.4832487886184001E-3</v>
      </c>
      <c r="AQ65" s="36">
        <v>2.4130657080392499E-3</v>
      </c>
      <c r="AR65" s="36">
        <v>2.1897782475392099E-3</v>
      </c>
      <c r="AS65" s="36">
        <v>1.9565251241557102E-3</v>
      </c>
      <c r="AT65" s="36">
        <v>2.1375587045630298E-3</v>
      </c>
      <c r="AU65" s="36">
        <v>1.902892843416E-3</v>
      </c>
      <c r="AV65" s="36">
        <v>1.8745586459065699E-3</v>
      </c>
      <c r="AW65" s="36">
        <v>1.8669362657099599E-3</v>
      </c>
      <c r="AX65" s="36">
        <v>2.0460908291782898E-3</v>
      </c>
      <c r="AY65" s="36">
        <v>1.9595825554111299E-3</v>
      </c>
      <c r="AZ65" s="36">
        <v>2.13247190178581E-3</v>
      </c>
      <c r="BA65" s="36">
        <v>1.7758499943025499E-3</v>
      </c>
      <c r="BB65" s="36">
        <v>2.1268893065436302E-3</v>
      </c>
      <c r="BC65" s="36">
        <v>2.1052189610083001E-3</v>
      </c>
      <c r="BD65" s="6">
        <v>4.8004550000000004</v>
      </c>
      <c r="BE65" s="6">
        <v>5.9333330000000002</v>
      </c>
      <c r="BF65" s="6">
        <v>5.2017439999999997</v>
      </c>
      <c r="BG65" s="6">
        <v>5.6666670000000003</v>
      </c>
      <c r="BH65" s="6">
        <v>4.7631249999999996</v>
      </c>
      <c r="BI65" s="6">
        <v>5.5060000000000002</v>
      </c>
      <c r="BJ65" s="6">
        <v>4.8801300000000003</v>
      </c>
      <c r="BK65" s="6">
        <v>5.1300739999999996</v>
      </c>
      <c r="BL65" s="6">
        <v>5.5526270000000002</v>
      </c>
      <c r="BM65" s="6">
        <v>5.5036990000000001</v>
      </c>
      <c r="BN65" s="6">
        <v>5.1723439999999998</v>
      </c>
      <c r="BO65" s="6">
        <v>5.7706429999999997</v>
      </c>
      <c r="BP65" s="6">
        <v>5.1120409999999996</v>
      </c>
      <c r="BQ65" s="6">
        <v>5.015161</v>
      </c>
      <c r="BR65" s="6">
        <v>4.9998570000000004</v>
      </c>
      <c r="BS65" s="6">
        <v>4.6548780000000001</v>
      </c>
      <c r="BT65" s="6">
        <v>4.739592</v>
      </c>
    </row>
    <row r="66" spans="1:72">
      <c r="A66" s="7" t="s">
        <v>338</v>
      </c>
      <c r="B66" s="1" t="s">
        <v>73</v>
      </c>
      <c r="C66" s="21">
        <v>0.28501451900552699</v>
      </c>
      <c r="D66" s="21">
        <v>1.4321607245019101E-2</v>
      </c>
      <c r="E66" s="10">
        <v>1.719031114280042E-3</v>
      </c>
      <c r="F66" s="3">
        <v>3.1426807277565136E-3</v>
      </c>
      <c r="G66" s="3">
        <v>6.1894</v>
      </c>
      <c r="H66" s="1">
        <v>5.4761170960186796</v>
      </c>
      <c r="I66" s="3">
        <f t="shared" ref="I66:I119" si="3">G66-H66</f>
        <v>0.71328290398132044</v>
      </c>
      <c r="J66">
        <v>6</v>
      </c>
      <c r="K66">
        <v>4</v>
      </c>
      <c r="L66" s="1">
        <v>6.6554080321573894E-2</v>
      </c>
      <c r="M66" s="4">
        <v>15.025374780452699</v>
      </c>
      <c r="N66" s="21">
        <v>6.3779818520225904</v>
      </c>
      <c r="O66" s="21" t="s">
        <v>294</v>
      </c>
      <c r="P66" s="21">
        <v>0.28501451900552699</v>
      </c>
      <c r="Q66" s="21">
        <v>0</v>
      </c>
      <c r="R66" s="21">
        <v>0</v>
      </c>
      <c r="S66" s="21">
        <v>0</v>
      </c>
      <c r="T66">
        <v>0</v>
      </c>
      <c r="U66" s="21">
        <f t="shared" ref="U66:U97" si="4">G66+T66</f>
        <v>6.1894</v>
      </c>
      <c r="V66" s="5">
        <v>3.3174999999999999</v>
      </c>
      <c r="W66" s="5">
        <v>2.8</v>
      </c>
      <c r="X66" s="5">
        <v>0</v>
      </c>
      <c r="Y66" s="5">
        <v>9.5500000000000007</v>
      </c>
      <c r="Z66" s="5">
        <v>9.5500000000000007</v>
      </c>
      <c r="AA66" s="5">
        <v>0</v>
      </c>
      <c r="AB66" s="5">
        <v>1.9</v>
      </c>
      <c r="AC66" s="5">
        <v>9.5500000000000007</v>
      </c>
      <c r="AD66" s="5">
        <v>5.7249999999999996</v>
      </c>
      <c r="AE66" s="5">
        <v>0</v>
      </c>
      <c r="AF66" s="5">
        <v>3.25</v>
      </c>
      <c r="AG66" s="5">
        <v>9.5500000000000007</v>
      </c>
      <c r="AH66" s="5">
        <v>0</v>
      </c>
      <c r="AI66" s="5">
        <v>5.1624999999999996</v>
      </c>
      <c r="AJ66" s="5">
        <v>7.15</v>
      </c>
      <c r="AK66" s="5">
        <v>6.85</v>
      </c>
      <c r="AL66" s="5">
        <v>9.5500000000000007</v>
      </c>
      <c r="AM66" s="36">
        <v>4.5380930297473296E-3</v>
      </c>
      <c r="AN66" s="36">
        <v>1.8344466129803199E-3</v>
      </c>
      <c r="AO66" s="36">
        <v>1.9869737307061002E-3</v>
      </c>
      <c r="AP66" s="36">
        <v>1.92564501766157E-3</v>
      </c>
      <c r="AQ66" s="36">
        <v>1.87122127242074E-3</v>
      </c>
      <c r="AR66" s="36">
        <v>1.6980721349726801E-3</v>
      </c>
      <c r="AS66" s="36">
        <v>1.51719508513535E-3</v>
      </c>
      <c r="AT66" s="36">
        <v>1.65757828545687E-3</v>
      </c>
      <c r="AU66" s="36">
        <v>1.4756057225770701E-3</v>
      </c>
      <c r="AV66" s="36">
        <v>1.4536338579320301E-3</v>
      </c>
      <c r="AW66" s="36">
        <v>1.4477230532975601E-3</v>
      </c>
      <c r="AX66" s="36">
        <v>1.58664916256028E-3</v>
      </c>
      <c r="AY66" s="36">
        <v>1.5195659822000399E-3</v>
      </c>
      <c r="AZ66" s="36">
        <v>1.6536337042821201E-3</v>
      </c>
      <c r="BA66" s="36">
        <v>1.37708984670264E-3</v>
      </c>
      <c r="BB66" s="36">
        <v>1.6493046588948799E-3</v>
      </c>
      <c r="BC66" s="36">
        <v>1.6325003044128201E-3</v>
      </c>
      <c r="BD66" s="6">
        <v>5.2089999999999996</v>
      </c>
      <c r="BE66" s="6">
        <v>5.1365049999999997</v>
      </c>
      <c r="BF66" s="6">
        <v>5.904579</v>
      </c>
      <c r="BG66" s="6">
        <v>6.4852990000000004</v>
      </c>
      <c r="BH66" s="6">
        <v>5.9389729999999998</v>
      </c>
      <c r="BI66" s="6">
        <v>5.678026</v>
      </c>
      <c r="BJ66" s="6">
        <v>5.2833259999999997</v>
      </c>
      <c r="BK66" s="6">
        <v>5.3468629999999999</v>
      </c>
      <c r="BL66" s="6">
        <v>5.5488280000000003</v>
      </c>
      <c r="BM66" s="6">
        <v>5.322946</v>
      </c>
      <c r="BN66" s="6">
        <v>5.377866</v>
      </c>
      <c r="BO66" s="6">
        <v>5.6579949999999997</v>
      </c>
      <c r="BP66" s="6">
        <v>5.434202</v>
      </c>
      <c r="BQ66" s="6">
        <v>4.7253160000000003</v>
      </c>
      <c r="BR66" s="6">
        <v>5.1316179999999996</v>
      </c>
      <c r="BS66" s="6">
        <v>5.5879779999999997</v>
      </c>
      <c r="BT66" s="6">
        <v>5.361154</v>
      </c>
    </row>
    <row r="67" spans="1:72">
      <c r="A67" s="7" t="s">
        <v>339</v>
      </c>
      <c r="B67" s="1" t="s">
        <v>74</v>
      </c>
      <c r="C67" s="21">
        <v>0.29100107502572597</v>
      </c>
      <c r="D67" s="21">
        <v>2.7855378533979701E-2</v>
      </c>
      <c r="E67" s="10">
        <v>1.7551383136676731E-3</v>
      </c>
      <c r="F67" s="3">
        <v>1.9458636419229936E-3</v>
      </c>
      <c r="G67" s="3">
        <v>6.5876470588235296</v>
      </c>
      <c r="H67" s="1">
        <v>5.6441304347826096</v>
      </c>
      <c r="I67" s="3">
        <f t="shared" si="3"/>
        <v>0.94351662404092007</v>
      </c>
      <c r="J67">
        <v>6</v>
      </c>
      <c r="K67">
        <v>4</v>
      </c>
      <c r="L67" s="1">
        <v>0.113124684825226</v>
      </c>
      <c r="M67" s="4">
        <v>8.8398036338838697</v>
      </c>
      <c r="N67" s="21">
        <v>7.2562574907484398</v>
      </c>
      <c r="O67" s="21" t="s">
        <v>294</v>
      </c>
      <c r="P67" s="21">
        <v>0.29100107502572597</v>
      </c>
      <c r="Q67" s="21">
        <v>0</v>
      </c>
      <c r="R67" s="21">
        <v>0</v>
      </c>
      <c r="S67" s="21">
        <v>0</v>
      </c>
      <c r="T67">
        <v>0</v>
      </c>
      <c r="U67" s="21">
        <f t="shared" si="4"/>
        <v>6.5876470588235296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9.5500000000000007</v>
      </c>
      <c r="AB67" s="5">
        <v>8.2899999999999991</v>
      </c>
      <c r="AC67" s="5">
        <v>3.7</v>
      </c>
      <c r="AD67" s="5">
        <v>0</v>
      </c>
      <c r="AE67" s="5">
        <v>9.5500000000000007</v>
      </c>
      <c r="AF67" s="5">
        <v>0</v>
      </c>
      <c r="AG67" s="5">
        <v>5.5</v>
      </c>
      <c r="AH67" s="5">
        <v>4.5549999999999997</v>
      </c>
      <c r="AI67" s="5">
        <v>6.625</v>
      </c>
      <c r="AJ67" s="5">
        <v>4.8833330000000004</v>
      </c>
      <c r="AK67" s="5">
        <v>7.0750000000000002</v>
      </c>
      <c r="AL67" s="5">
        <v>0</v>
      </c>
      <c r="AM67" s="36">
        <v>4.6334129041251297E-3</v>
      </c>
      <c r="AN67" s="36">
        <v>1.8729780444771799E-3</v>
      </c>
      <c r="AO67" s="36">
        <v>2.0287089012196598E-3</v>
      </c>
      <c r="AP67" s="36">
        <v>1.9660920159880798E-3</v>
      </c>
      <c r="AQ67" s="36">
        <v>1.9105251331946399E-3</v>
      </c>
      <c r="AR67" s="36">
        <v>1.7337391037917499E-3</v>
      </c>
      <c r="AS67" s="36">
        <v>1.54906284191639E-3</v>
      </c>
      <c r="AT67" s="36">
        <v>1.69239470568127E-3</v>
      </c>
      <c r="AU67" s="36">
        <v>1.5065999201806001E-3</v>
      </c>
      <c r="AV67" s="36">
        <v>1.4841665499286799E-3</v>
      </c>
      <c r="AW67" s="36">
        <v>1.4781315924503699E-3</v>
      </c>
      <c r="AX67" s="36">
        <v>1.61997575984806E-3</v>
      </c>
      <c r="AY67" s="36">
        <v>1.5514835382269001E-3</v>
      </c>
      <c r="AZ67" s="36">
        <v>1.68836727098643E-3</v>
      </c>
      <c r="BA67" s="36">
        <v>1.40601477846015E-3</v>
      </c>
      <c r="BB67" s="36">
        <v>1.6839472966429601E-3</v>
      </c>
      <c r="BC67" s="36">
        <v>1.6667899769511199E-3</v>
      </c>
      <c r="BD67" s="6">
        <v>5.3445450000000001</v>
      </c>
      <c r="BE67" s="6">
        <v>5.9834290000000001</v>
      </c>
      <c r="BF67" s="6">
        <v>5.3527269999999998</v>
      </c>
      <c r="BG67" s="6">
        <v>6.5549999999999997</v>
      </c>
      <c r="BH67" s="6">
        <v>5.7129029999999998</v>
      </c>
      <c r="BI67" s="6">
        <v>5.7024999999999997</v>
      </c>
      <c r="BJ67" s="6">
        <v>5.7419399999999996</v>
      </c>
      <c r="BK67" s="6">
        <v>5.4602360000000001</v>
      </c>
      <c r="BL67" s="6">
        <v>5.7206849999999996</v>
      </c>
      <c r="BM67" s="6">
        <v>5.7171640000000004</v>
      </c>
      <c r="BN67" s="6">
        <v>5.1383640000000002</v>
      </c>
      <c r="BO67" s="6">
        <v>5.8031579999999998</v>
      </c>
      <c r="BP67" s="6">
        <v>5.6677270000000002</v>
      </c>
      <c r="BQ67" s="6">
        <v>5.9190630000000004</v>
      </c>
      <c r="BR67" s="6">
        <v>5.232742</v>
      </c>
      <c r="BS67" s="6">
        <v>5.8964290000000004</v>
      </c>
      <c r="BT67" s="6">
        <v>5.1849999999999996</v>
      </c>
    </row>
    <row r="68" spans="1:72">
      <c r="A68" s="7" t="s">
        <v>340</v>
      </c>
      <c r="B68" s="1" t="s">
        <v>75</v>
      </c>
      <c r="C68" s="21">
        <v>0.18778657237888</v>
      </c>
      <c r="D68" s="21">
        <v>1.2180096318225499E-2</v>
      </c>
      <c r="E68" s="10">
        <v>1.132612338099996E-3</v>
      </c>
      <c r="F68" s="3">
        <v>5.0616877871432122E-3</v>
      </c>
      <c r="G68" s="3">
        <v>5.5916071428571401</v>
      </c>
      <c r="H68" s="1">
        <v>6.0085789313286302</v>
      </c>
      <c r="I68" s="3">
        <f t="shared" si="3"/>
        <v>-0.41697178847149008</v>
      </c>
      <c r="J68">
        <v>7</v>
      </c>
      <c r="K68">
        <v>4</v>
      </c>
      <c r="L68" s="1">
        <v>6.8331945876198702E-2</v>
      </c>
      <c r="M68" s="4">
        <v>14.6344434828735</v>
      </c>
      <c r="N68" s="21">
        <v>6.3865710096489199</v>
      </c>
      <c r="O68" s="21" t="s">
        <v>294</v>
      </c>
      <c r="P68" s="21">
        <v>0.18778657237888</v>
      </c>
      <c r="Q68" s="21">
        <v>0</v>
      </c>
      <c r="R68" s="21">
        <v>0</v>
      </c>
      <c r="S68" s="21">
        <v>0</v>
      </c>
      <c r="T68">
        <v>0</v>
      </c>
      <c r="U68" s="21">
        <f t="shared" si="4"/>
        <v>5.5916071428571401</v>
      </c>
      <c r="V68" s="5">
        <v>4.75</v>
      </c>
      <c r="W68" s="5">
        <v>5.42</v>
      </c>
      <c r="X68" s="5">
        <v>5.59</v>
      </c>
      <c r="Y68" s="5">
        <v>4.9240000000000004</v>
      </c>
      <c r="Z68" s="5">
        <v>4.4649999999999999</v>
      </c>
      <c r="AA68" s="5">
        <v>4.440455</v>
      </c>
      <c r="AB68" s="5">
        <v>5.6145449999999997</v>
      </c>
      <c r="AC68" s="5">
        <v>6.8333329999999997</v>
      </c>
      <c r="AD68" s="5">
        <v>5.5762499999999999</v>
      </c>
      <c r="AE68" s="5">
        <v>5.9275000000000002</v>
      </c>
      <c r="AF68" s="5">
        <v>6.75</v>
      </c>
      <c r="AG68" s="5">
        <v>4.7387499999999996</v>
      </c>
      <c r="AH68" s="5">
        <v>5.6542859999999999</v>
      </c>
      <c r="AI68" s="5">
        <v>5.39</v>
      </c>
      <c r="AJ68" s="5">
        <v>5.1937499999999996</v>
      </c>
      <c r="AK68" s="5">
        <v>6.3550000000000004</v>
      </c>
      <c r="AL68" s="5">
        <v>5.3250000000000002</v>
      </c>
      <c r="AM68" s="36">
        <v>2.9899983276859398E-3</v>
      </c>
      <c r="AN68" s="36">
        <v>1.20865576555747E-3</v>
      </c>
      <c r="AO68" s="36">
        <v>1.30915080255591E-3</v>
      </c>
      <c r="AP68" s="36">
        <v>1.26874335646782E-3</v>
      </c>
      <c r="AQ68" s="36">
        <v>1.2328853636523801E-3</v>
      </c>
      <c r="AR68" s="36">
        <v>1.11880316480446E-3</v>
      </c>
      <c r="AS68" s="36">
        <v>9.996293019097931E-4</v>
      </c>
      <c r="AT68" s="36">
        <v>1.0921231162597999E-3</v>
      </c>
      <c r="AU68" s="36">
        <v>9.7222745631437603E-4</v>
      </c>
      <c r="AV68" s="36">
        <v>9.5775092661034504E-4</v>
      </c>
      <c r="AW68" s="36">
        <v>9.5385649433306103E-4</v>
      </c>
      <c r="AX68" s="36">
        <v>1.0453902799219699E-3</v>
      </c>
      <c r="AY68" s="36">
        <v>1.0011914070081401E-3</v>
      </c>
      <c r="AZ68" s="36">
        <v>1.08952416312275E-3</v>
      </c>
      <c r="BA68" s="36">
        <v>9.0731862738905895E-4</v>
      </c>
      <c r="BB68" s="36">
        <v>1.08667189932307E-3</v>
      </c>
      <c r="BC68" s="36">
        <v>1.0756000699291301E-3</v>
      </c>
      <c r="BD68" s="6">
        <v>5.4629370000000002</v>
      </c>
      <c r="BE68" s="6">
        <v>6.2730490000000003</v>
      </c>
      <c r="BF68" s="6">
        <v>6.2930289999999998</v>
      </c>
      <c r="BG68" s="6">
        <v>6.1215029999999997</v>
      </c>
      <c r="BH68" s="6">
        <v>5.6797849999999999</v>
      </c>
      <c r="BI68" s="6">
        <v>5.8254799999999998</v>
      </c>
      <c r="BJ68" s="6">
        <v>5.9541649999999997</v>
      </c>
      <c r="BK68" s="6">
        <v>6.218051</v>
      </c>
      <c r="BL68" s="6">
        <v>6.0339479999999996</v>
      </c>
      <c r="BM68" s="6">
        <v>5.9466530000000004</v>
      </c>
      <c r="BN68" s="6">
        <v>6.1248740000000002</v>
      </c>
      <c r="BO68" s="6">
        <v>6.0406069999999996</v>
      </c>
      <c r="BP68" s="6">
        <v>6.1019439999999996</v>
      </c>
      <c r="BQ68" s="6">
        <v>5.8502619999999999</v>
      </c>
      <c r="BR68" s="6">
        <v>5.7698499999999999</v>
      </c>
      <c r="BS68" s="6">
        <v>5.8019930000000004</v>
      </c>
      <c r="BT68" s="6">
        <v>5.8290790000000001</v>
      </c>
    </row>
    <row r="69" spans="1:72">
      <c r="A69" s="7" t="s">
        <v>341</v>
      </c>
      <c r="B69" s="1" t="s">
        <v>76</v>
      </c>
      <c r="C69" s="21">
        <v>0.35521149331916901</v>
      </c>
      <c r="D69" s="21">
        <v>3.0313952718289999E-2</v>
      </c>
      <c r="E69" s="10">
        <v>2.142415801469004E-3</v>
      </c>
      <c r="F69" s="3">
        <v>1.8502613351293943E-3</v>
      </c>
      <c r="G69" s="3">
        <v>4.8831818181818196</v>
      </c>
      <c r="H69" s="1">
        <v>5.2512350505979697</v>
      </c>
      <c r="I69" s="3">
        <f t="shared" si="3"/>
        <v>-0.36805323241615007</v>
      </c>
      <c r="J69">
        <v>3</v>
      </c>
      <c r="K69">
        <v>2</v>
      </c>
      <c r="L69" s="1">
        <v>6.2686829763601598E-2</v>
      </c>
      <c r="M69" s="4">
        <v>15.952314126764801</v>
      </c>
      <c r="N69" s="21">
        <v>6.5065232922248804</v>
      </c>
      <c r="O69" s="21" t="s">
        <v>294</v>
      </c>
      <c r="P69" s="21">
        <v>0.35521149331916901</v>
      </c>
      <c r="Q69" s="21">
        <v>0</v>
      </c>
      <c r="R69" s="21">
        <v>0</v>
      </c>
      <c r="S69" s="21">
        <v>0</v>
      </c>
      <c r="T69">
        <v>0</v>
      </c>
      <c r="U69" s="21">
        <f t="shared" si="4"/>
        <v>4.8831818181818196</v>
      </c>
      <c r="V69" s="5">
        <v>3.7</v>
      </c>
      <c r="W69" s="5">
        <v>5.7519999999999998</v>
      </c>
      <c r="X69" s="5">
        <v>4.375</v>
      </c>
      <c r="Y69" s="5">
        <v>0</v>
      </c>
      <c r="Z69" s="5">
        <v>4.8849999999999998</v>
      </c>
      <c r="AA69" s="5">
        <v>3.7360000000000002</v>
      </c>
      <c r="AB69" s="5">
        <v>3.8537499999999998</v>
      </c>
      <c r="AC69" s="5">
        <v>5.95</v>
      </c>
      <c r="AD69" s="5">
        <v>5.5</v>
      </c>
      <c r="AE69" s="5">
        <v>6.16</v>
      </c>
      <c r="AF69" s="5">
        <v>5.95</v>
      </c>
      <c r="AG69" s="5">
        <v>4.6449999999999996</v>
      </c>
      <c r="AH69" s="5">
        <v>4</v>
      </c>
      <c r="AI69" s="5">
        <v>3.61</v>
      </c>
      <c r="AJ69" s="5">
        <v>3.7</v>
      </c>
      <c r="AK69" s="5">
        <v>3.6549999999999998</v>
      </c>
      <c r="AL69" s="5">
        <v>7.75</v>
      </c>
      <c r="AM69" s="36">
        <v>5.6557918787519803E-3</v>
      </c>
      <c r="AN69" s="36">
        <v>2.2862572864170302E-3</v>
      </c>
      <c r="AO69" s="36">
        <v>2.47635070849281E-3</v>
      </c>
      <c r="AP69" s="36">
        <v>2.39991718566772E-3</v>
      </c>
      <c r="AQ69" s="36">
        <v>2.33208927329866E-3</v>
      </c>
      <c r="AR69" s="36">
        <v>2.1162947801112398E-3</v>
      </c>
      <c r="AS69" s="36">
        <v>1.89086904669926E-3</v>
      </c>
      <c r="AT69" s="36">
        <v>2.0658275940642302E-3</v>
      </c>
      <c r="AU69" s="36">
        <v>1.83903653082581E-3</v>
      </c>
      <c r="AV69" s="36">
        <v>1.81165315794081E-3</v>
      </c>
      <c r="AW69" s="36">
        <v>1.8042865657115501E-3</v>
      </c>
      <c r="AX69" s="36">
        <v>1.97742915123463E-3</v>
      </c>
      <c r="AY69" s="36">
        <v>1.8938238782278201E-3</v>
      </c>
      <c r="AZ69" s="36">
        <v>2.0609114916337701E-3</v>
      </c>
      <c r="BA69" s="36">
        <v>1.71625692118662E-3</v>
      </c>
      <c r="BB69" s="36">
        <v>2.05551623429035E-3</v>
      </c>
      <c r="BC69" s="36">
        <v>2.03457309121586E-3</v>
      </c>
      <c r="BD69" s="6">
        <v>5.7781820000000002</v>
      </c>
      <c r="BE69" s="6">
        <v>5.1545589999999999</v>
      </c>
      <c r="BF69" s="6">
        <v>5.7181519999999999</v>
      </c>
      <c r="BG69" s="6">
        <v>4.592174</v>
      </c>
      <c r="BH69" s="6">
        <v>5.3929729999999996</v>
      </c>
      <c r="BI69" s="6">
        <v>5.1368970000000003</v>
      </c>
      <c r="BJ69" s="6">
        <v>4.9873849999999997</v>
      </c>
      <c r="BK69" s="6">
        <v>5.3354999999999997</v>
      </c>
      <c r="BL69" s="6">
        <v>4.9987659999999998</v>
      </c>
      <c r="BM69" s="6">
        <v>5.4221880000000002</v>
      </c>
      <c r="BN69" s="6">
        <v>5.6322999999999999</v>
      </c>
      <c r="BO69" s="6">
        <v>5.1327610000000004</v>
      </c>
      <c r="BP69" s="6">
        <v>5.247547</v>
      </c>
      <c r="BQ69" s="6">
        <v>5.1272089999999997</v>
      </c>
      <c r="BR69" s="6">
        <v>5.2125810000000001</v>
      </c>
      <c r="BS69" s="6">
        <v>5.0145739999999996</v>
      </c>
      <c r="BT69" s="6">
        <v>5.5595239999999997</v>
      </c>
    </row>
    <row r="70" spans="1:72">
      <c r="A70" s="7" t="s">
        <v>342</v>
      </c>
      <c r="B70" s="1" t="s">
        <v>77</v>
      </c>
      <c r="C70" s="21">
        <v>0.31188717107439901</v>
      </c>
      <c r="D70" s="21">
        <v>1.09347041069775E-2</v>
      </c>
      <c r="E70" s="10">
        <v>1.881110313581173E-3</v>
      </c>
      <c r="F70" s="3">
        <v>6.6588173103073155E-3</v>
      </c>
      <c r="G70" s="3">
        <v>7.3848466257668601</v>
      </c>
      <c r="H70" s="1">
        <v>6.5622039155299703</v>
      </c>
      <c r="I70" s="3">
        <f t="shared" si="3"/>
        <v>0.82264271023688984</v>
      </c>
      <c r="J70">
        <v>6</v>
      </c>
      <c r="K70">
        <v>4</v>
      </c>
      <c r="L70" s="1">
        <v>5.1182539287980902E-2</v>
      </c>
      <c r="M70" s="4">
        <v>19.537913005321101</v>
      </c>
      <c r="N70" s="21">
        <v>6.8643463879349396</v>
      </c>
      <c r="O70" s="21" t="s">
        <v>294</v>
      </c>
      <c r="P70" s="21">
        <v>0.31188717107439901</v>
      </c>
      <c r="Q70" s="21">
        <v>0</v>
      </c>
      <c r="R70" s="21">
        <v>0</v>
      </c>
      <c r="S70" s="21">
        <v>0</v>
      </c>
      <c r="T70">
        <v>0</v>
      </c>
      <c r="U70" s="21">
        <f t="shared" si="4"/>
        <v>7.3848466257668601</v>
      </c>
      <c r="V70" s="5">
        <v>7.4012500000000001</v>
      </c>
      <c r="W70" s="5">
        <v>7.45</v>
      </c>
      <c r="X70" s="5">
        <v>7.2357139999999998</v>
      </c>
      <c r="Y70" s="5">
        <v>7.9749999999999996</v>
      </c>
      <c r="Z70" s="5">
        <v>9.5500000000000007</v>
      </c>
      <c r="AA70" s="5">
        <v>8.875</v>
      </c>
      <c r="AB70" s="5">
        <v>6.2919999999999998</v>
      </c>
      <c r="AC70" s="5">
        <v>6.2312500000000002</v>
      </c>
      <c r="AD70" s="5">
        <v>8.3631250000000001</v>
      </c>
      <c r="AE70" s="5">
        <v>8.89</v>
      </c>
      <c r="AF70" s="5">
        <v>8.0250000000000004</v>
      </c>
      <c r="AG70" s="5">
        <v>7.2640000000000002</v>
      </c>
      <c r="AH70" s="5">
        <v>6.67</v>
      </c>
      <c r="AI70" s="5">
        <v>8.21875</v>
      </c>
      <c r="AJ70" s="5">
        <v>5.0679999999999996</v>
      </c>
      <c r="AK70" s="5">
        <v>6.4359999999999999</v>
      </c>
      <c r="AL70" s="5">
        <v>6.2649999999999997</v>
      </c>
      <c r="AM70" s="36">
        <v>4.9659680568515099E-3</v>
      </c>
      <c r="AN70" s="36">
        <v>2.0074077861217698E-3</v>
      </c>
      <c r="AO70" s="36">
        <v>2.17431595425864E-3</v>
      </c>
      <c r="AP70" s="36">
        <v>2.1072048509933302E-3</v>
      </c>
      <c r="AQ70" s="36">
        <v>2.0476497518297399E-3</v>
      </c>
      <c r="AR70" s="36">
        <v>1.85817521263407E-3</v>
      </c>
      <c r="AS70" s="36">
        <v>1.66024413325298E-3</v>
      </c>
      <c r="AT70" s="36">
        <v>1.8138633922557101E-3</v>
      </c>
      <c r="AU70" s="36">
        <v>1.6147335091614499E-3</v>
      </c>
      <c r="AV70" s="36">
        <v>1.59069002277598E-3</v>
      </c>
      <c r="AW70" s="36">
        <v>1.58422191672071E-3</v>
      </c>
      <c r="AX70" s="36">
        <v>1.73624670253691E-3</v>
      </c>
      <c r="AY70" s="36">
        <v>1.6628385708310899E-3</v>
      </c>
      <c r="AZ70" s="36">
        <v>1.8095468954401901E-3</v>
      </c>
      <c r="BA70" s="36">
        <v>1.50692904383245E-3</v>
      </c>
      <c r="BB70" s="36">
        <v>1.8048096851254699E-3</v>
      </c>
      <c r="BC70" s="36">
        <v>1.78642092865289E-3</v>
      </c>
      <c r="BD70" s="6">
        <v>6.6772169999999997</v>
      </c>
      <c r="BE70" s="6">
        <v>6.594735</v>
      </c>
      <c r="BF70" s="6">
        <v>6.9981350000000004</v>
      </c>
      <c r="BG70" s="6">
        <v>6.7888780000000004</v>
      </c>
      <c r="BH70" s="6">
        <v>6.2831400000000004</v>
      </c>
      <c r="BI70" s="6">
        <v>6.5464900000000004</v>
      </c>
      <c r="BJ70" s="6">
        <v>6.3517950000000001</v>
      </c>
      <c r="BK70" s="6">
        <v>6.1336560000000002</v>
      </c>
      <c r="BL70" s="6">
        <v>6.3952689999999999</v>
      </c>
      <c r="BM70" s="6">
        <v>6.5919610000000004</v>
      </c>
      <c r="BN70" s="6">
        <v>6.491517</v>
      </c>
      <c r="BO70" s="6">
        <v>6.5264740000000003</v>
      </c>
      <c r="BP70" s="6">
        <v>6.4460459999999999</v>
      </c>
      <c r="BQ70" s="6">
        <v>6.9682630000000003</v>
      </c>
      <c r="BR70" s="6">
        <v>6.5217700000000001</v>
      </c>
      <c r="BS70" s="6">
        <v>6.7097920000000002</v>
      </c>
      <c r="BT70" s="6">
        <v>6.8124070000000003</v>
      </c>
    </row>
    <row r="71" spans="1:72">
      <c r="A71" s="7" t="s">
        <v>343</v>
      </c>
      <c r="B71" s="1" t="s">
        <v>78</v>
      </c>
      <c r="C71" s="21">
        <v>0.17197669050277101</v>
      </c>
      <c r="D71" s="21">
        <v>4.2167536007790302E-2</v>
      </c>
      <c r="E71" s="10">
        <v>8.4405084657727849E-4</v>
      </c>
      <c r="F71" s="3">
        <v>1.7048519059718816E-3</v>
      </c>
      <c r="G71" s="3">
        <v>8.4045454545454508</v>
      </c>
      <c r="H71" s="1">
        <v>7.2725399361022296</v>
      </c>
      <c r="I71" s="3">
        <f t="shared" si="3"/>
        <v>1.1320055184432212</v>
      </c>
      <c r="J71">
        <v>6</v>
      </c>
      <c r="K71">
        <v>4</v>
      </c>
      <c r="L71" s="1">
        <v>0.17889191293319401</v>
      </c>
      <c r="M71" s="4">
        <v>5.5899676156598703</v>
      </c>
      <c r="N71" s="21">
        <v>9.5500000000000007</v>
      </c>
      <c r="O71" s="21" t="s">
        <v>456</v>
      </c>
      <c r="P71" s="21">
        <v>9.2670818701991493</v>
      </c>
      <c r="Q71" s="21">
        <v>1.9560141264168499E-2</v>
      </c>
      <c r="R71" s="21">
        <v>0</v>
      </c>
      <c r="S71" s="21">
        <v>9.35071605338046E-3</v>
      </c>
      <c r="T71">
        <v>0</v>
      </c>
      <c r="U71" s="21">
        <f t="shared" si="4"/>
        <v>8.4045454545454508</v>
      </c>
      <c r="V71" s="5">
        <v>8.1999999999999993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5.5</v>
      </c>
      <c r="AD71" s="5">
        <v>0</v>
      </c>
      <c r="AE71" s="5">
        <v>9.5500000000000007</v>
      </c>
      <c r="AF71" s="5">
        <v>0</v>
      </c>
      <c r="AG71" s="5">
        <v>0</v>
      </c>
      <c r="AH71" s="5">
        <v>9.5500000000000007</v>
      </c>
      <c r="AI71" s="5">
        <v>5.05</v>
      </c>
      <c r="AJ71" s="5">
        <v>0</v>
      </c>
      <c r="AK71" s="5">
        <v>0</v>
      </c>
      <c r="AL71" s="5">
        <v>9.5500000000000007</v>
      </c>
      <c r="AM71" s="36">
        <v>2.3915910991955799E-3</v>
      </c>
      <c r="AN71" s="36">
        <v>9.6675986208186995E-4</v>
      </c>
      <c r="AO71" s="36">
        <v>1.04714219332712E-3</v>
      </c>
      <c r="AP71" s="36">
        <v>1.01482174434536E-3</v>
      </c>
      <c r="AQ71" s="36">
        <v>9.8614023785141298E-4</v>
      </c>
      <c r="AR71" s="36">
        <v>8.94890029175714E-4</v>
      </c>
      <c r="AS71" s="36">
        <v>7.9956718330100095E-4</v>
      </c>
      <c r="AT71" s="36">
        <v>8.7354962706422004E-4</v>
      </c>
      <c r="AU71" s="36">
        <v>7.7764944193615905E-4</v>
      </c>
      <c r="AV71" s="36">
        <v>7.6607019145069296E-4</v>
      </c>
      <c r="AW71" s="36">
        <v>7.6295517647408605E-4</v>
      </c>
      <c r="AX71" s="36">
        <v>8.3616972808875302E-4</v>
      </c>
      <c r="AY71" s="36">
        <v>8.00816654451076E-4</v>
      </c>
      <c r="AZ71" s="36">
        <v>8.7147081881464603E-4</v>
      </c>
      <c r="BA71" s="36">
        <v>7.2573122643764497E-4</v>
      </c>
      <c r="BB71" s="36">
        <v>8.6918939656343598E-4</v>
      </c>
      <c r="BC71" s="36">
        <v>8.6033344223557403E-4</v>
      </c>
      <c r="BD71" s="6">
        <v>7.1050000000000004</v>
      </c>
      <c r="BE71" s="6">
        <v>8.0615380000000005</v>
      </c>
      <c r="BF71" s="6">
        <v>7.4864290000000002</v>
      </c>
      <c r="BG71" s="6">
        <v>7.66</v>
      </c>
      <c r="BH71" s="6">
        <v>5.3650000000000002</v>
      </c>
      <c r="BI71" s="6">
        <v>8.0399999999999991</v>
      </c>
      <c r="BJ71" s="6">
        <v>6.7762000000000002</v>
      </c>
      <c r="BK71" s="6">
        <v>7.42</v>
      </c>
      <c r="BL71" s="6">
        <v>6.6131580000000003</v>
      </c>
      <c r="BM71" s="6">
        <v>7.2332260000000002</v>
      </c>
      <c r="BN71" s="6">
        <v>7.02</v>
      </c>
      <c r="BO71" s="6">
        <v>6.7323079999999997</v>
      </c>
      <c r="BP71" s="6">
        <v>7.2785710000000003</v>
      </c>
      <c r="BQ71" s="6">
        <v>6.5439999999999996</v>
      </c>
      <c r="BR71" s="6">
        <v>6.8707690000000001</v>
      </c>
      <c r="BS71" s="6">
        <v>8.981579</v>
      </c>
      <c r="BT71" s="6">
        <v>7.4664999999999999</v>
      </c>
    </row>
    <row r="72" spans="1:72">
      <c r="A72" s="7" t="s">
        <v>344</v>
      </c>
      <c r="B72" s="1" t="s">
        <v>79</v>
      </c>
      <c r="C72" s="21">
        <v>0.30366902641228599</v>
      </c>
      <c r="D72" s="21">
        <v>1.7257467601443699E-2</v>
      </c>
      <c r="E72" s="10">
        <v>2.6967326941811729E-3</v>
      </c>
      <c r="F72" s="3">
        <v>2.5496122769870485E-3</v>
      </c>
      <c r="G72" s="3">
        <v>5.1180357142857202</v>
      </c>
      <c r="H72" s="1">
        <v>4.9687001185302204</v>
      </c>
      <c r="I72" s="3">
        <f t="shared" si="3"/>
        <v>0.14933559575549982</v>
      </c>
      <c r="J72">
        <v>2</v>
      </c>
      <c r="K72">
        <v>3</v>
      </c>
      <c r="L72" s="1">
        <v>7.24771133064262E-2</v>
      </c>
      <c r="M72" s="4">
        <v>13.7974590098822</v>
      </c>
      <c r="N72" s="21">
        <v>6.2866364722025798</v>
      </c>
      <c r="O72" s="21" t="s">
        <v>294</v>
      </c>
      <c r="P72" s="21">
        <v>0.30366902641228599</v>
      </c>
      <c r="Q72" s="21">
        <v>0</v>
      </c>
      <c r="R72" s="21">
        <v>0</v>
      </c>
      <c r="S72" s="21">
        <v>0</v>
      </c>
      <c r="T72">
        <v>0</v>
      </c>
      <c r="U72" s="21">
        <f t="shared" si="4"/>
        <v>5.1180357142857202</v>
      </c>
      <c r="V72" s="5">
        <v>4.5549999999999997</v>
      </c>
      <c r="W72" s="5">
        <v>6.1120000000000001</v>
      </c>
      <c r="X72" s="5">
        <v>6.22</v>
      </c>
      <c r="Y72" s="5">
        <v>4.87</v>
      </c>
      <c r="Z72" s="5">
        <v>5.5</v>
      </c>
      <c r="AA72" s="5">
        <v>5.86</v>
      </c>
      <c r="AB72" s="5">
        <v>5.0638459999999998</v>
      </c>
      <c r="AC72" s="5">
        <v>5.0410000000000004</v>
      </c>
      <c r="AD72" s="5">
        <v>5.0049999999999999</v>
      </c>
      <c r="AE72" s="5">
        <v>6.0220000000000002</v>
      </c>
      <c r="AF72" s="5">
        <v>4.2850000000000001</v>
      </c>
      <c r="AG72" s="5">
        <v>5.4640000000000004</v>
      </c>
      <c r="AH72" s="5">
        <v>4.5871430000000002</v>
      </c>
      <c r="AI72" s="5">
        <v>5.0125000000000002</v>
      </c>
      <c r="AJ72" s="5">
        <v>4</v>
      </c>
      <c r="AK72" s="5">
        <v>4.6900000000000004</v>
      </c>
      <c r="AL72" s="5">
        <v>5.1100000000000003</v>
      </c>
      <c r="AM72" s="36">
        <v>7.8180688790517403E-3</v>
      </c>
      <c r="AN72" s="36">
        <v>3.1603208398797099E-3</v>
      </c>
      <c r="AO72" s="36">
        <v>3.4230892548255199E-3</v>
      </c>
      <c r="AP72" s="36">
        <v>3.3174342804336799E-3</v>
      </c>
      <c r="AQ72" s="36">
        <v>3.22367494448361E-3</v>
      </c>
      <c r="AR72" s="36">
        <v>2.92537963100196E-3</v>
      </c>
      <c r="AS72" s="36">
        <v>2.6137709387608898E-3</v>
      </c>
      <c r="AT72" s="36">
        <v>2.8556182350549602E-3</v>
      </c>
      <c r="AU72" s="36">
        <v>2.5421222310360501E-3</v>
      </c>
      <c r="AV72" s="36">
        <v>2.5042698666023402E-3</v>
      </c>
      <c r="AW72" s="36">
        <v>2.49408693790078E-3</v>
      </c>
      <c r="AX72" s="36">
        <v>2.73342400838281E-3</v>
      </c>
      <c r="AY72" s="36">
        <v>2.6178554377862201E-3</v>
      </c>
      <c r="AZ72" s="36">
        <v>2.8488226477628902E-3</v>
      </c>
      <c r="BA72" s="36">
        <v>2.37240250554395E-3</v>
      </c>
      <c r="BB72" s="36">
        <v>2.8413647188936298E-3</v>
      </c>
      <c r="BC72" s="36">
        <v>2.8124147612908199E-3</v>
      </c>
      <c r="BD72" s="6">
        <v>4.73942</v>
      </c>
      <c r="BE72" s="6">
        <v>5.0864859999999998</v>
      </c>
      <c r="BF72" s="6">
        <v>5.6338749999999997</v>
      </c>
      <c r="BG72" s="6">
        <v>4.8617999999999997</v>
      </c>
      <c r="BH72" s="6">
        <v>5.015714</v>
      </c>
      <c r="BI72" s="6">
        <v>5.1534700000000004</v>
      </c>
      <c r="BJ72" s="6">
        <v>4.7864000000000004</v>
      </c>
      <c r="BK72" s="6">
        <v>5.0017009999999997</v>
      </c>
      <c r="BL72" s="6">
        <v>4.79</v>
      </c>
      <c r="BM72" s="6">
        <v>4.9540540000000002</v>
      </c>
      <c r="BN72" s="6">
        <v>4.6244519999999998</v>
      </c>
      <c r="BO72" s="6">
        <v>5.0986690000000001</v>
      </c>
      <c r="BP72" s="6">
        <v>5.1024479999999999</v>
      </c>
      <c r="BQ72" s="6">
        <v>5.0663590000000003</v>
      </c>
      <c r="BR72" s="6">
        <v>4.675484</v>
      </c>
      <c r="BS72" s="6">
        <v>4.7507210000000004</v>
      </c>
      <c r="BT72" s="6">
        <v>4.9857829999999996</v>
      </c>
    </row>
    <row r="73" spans="1:72">
      <c r="A73" s="7" t="s">
        <v>474</v>
      </c>
      <c r="B73" s="1" t="s">
        <v>80</v>
      </c>
      <c r="C73" s="21">
        <v>0.37673904923351798</v>
      </c>
      <c r="D73" s="21">
        <v>3.12070379453811E-2</v>
      </c>
      <c r="E73" s="10">
        <v>2.272256690137738E-3</v>
      </c>
      <c r="F73" s="3">
        <v>1.788082904679557E-3</v>
      </c>
      <c r="G73" s="3">
        <v>5.2839999999999998</v>
      </c>
      <c r="H73" s="1">
        <v>5.92252808988765</v>
      </c>
      <c r="I73" s="3">
        <f t="shared" si="3"/>
        <v>-0.6385280898876502</v>
      </c>
      <c r="J73">
        <v>3</v>
      </c>
      <c r="K73">
        <v>2</v>
      </c>
      <c r="L73" s="1">
        <v>0.112270688646008</v>
      </c>
      <c r="M73" s="4">
        <v>8.9070443235012302</v>
      </c>
      <c r="N73" s="21">
        <v>7.0461014992811304</v>
      </c>
      <c r="O73" s="21" t="s">
        <v>273</v>
      </c>
      <c r="P73" s="21">
        <v>57.576120929810799</v>
      </c>
      <c r="Q73" s="21">
        <v>6.4434279614879004E-3</v>
      </c>
      <c r="R73" s="21">
        <v>0</v>
      </c>
      <c r="S73" s="21">
        <v>7.9841004842237297E-3</v>
      </c>
      <c r="T73">
        <v>0</v>
      </c>
      <c r="U73" s="21">
        <f t="shared" si="4"/>
        <v>5.2839999999999998</v>
      </c>
      <c r="V73" s="5">
        <v>0</v>
      </c>
      <c r="W73" s="5">
        <v>0</v>
      </c>
      <c r="X73" s="5">
        <v>5.95</v>
      </c>
      <c r="Y73" s="5">
        <v>0</v>
      </c>
      <c r="Z73" s="5">
        <v>0</v>
      </c>
      <c r="AA73" s="5">
        <v>0</v>
      </c>
      <c r="AB73" s="5">
        <v>2.8</v>
      </c>
      <c r="AC73" s="5">
        <v>4.87</v>
      </c>
      <c r="AD73" s="5">
        <v>0</v>
      </c>
      <c r="AE73" s="5">
        <v>0</v>
      </c>
      <c r="AF73" s="5">
        <v>0</v>
      </c>
      <c r="AG73" s="5">
        <v>0</v>
      </c>
      <c r="AH73" s="5">
        <v>4.2850000000000001</v>
      </c>
      <c r="AI73" s="5">
        <v>9.1</v>
      </c>
      <c r="AJ73" s="5">
        <v>0</v>
      </c>
      <c r="AK73" s="5">
        <v>3.7</v>
      </c>
      <c r="AL73" s="5">
        <v>4.5999999999999996</v>
      </c>
      <c r="AM73" s="36">
        <v>5.9985605621975698E-3</v>
      </c>
      <c r="AN73" s="36">
        <v>2.4248156734445201E-3</v>
      </c>
      <c r="AO73" s="36">
        <v>2.6264296877580298E-3</v>
      </c>
      <c r="AP73" s="36">
        <v>2.5453639191658599E-3</v>
      </c>
      <c r="AQ73" s="36">
        <v>2.4734253031637701E-3</v>
      </c>
      <c r="AR73" s="36">
        <v>2.2445526069748401E-3</v>
      </c>
      <c r="AS73" s="36">
        <v>2.0054649702409499E-3</v>
      </c>
      <c r="AT73" s="36">
        <v>2.1910268623228802E-3</v>
      </c>
      <c r="AU73" s="36">
        <v>1.95049115008924E-3</v>
      </c>
      <c r="AV73" s="36">
        <v>1.921448210715E-3</v>
      </c>
      <c r="AW73" s="36">
        <v>1.91363516692352E-3</v>
      </c>
      <c r="AX73" s="36">
        <v>2.0972710409834401E-3</v>
      </c>
      <c r="AY73" s="36">
        <v>2.0085988790295201E-3</v>
      </c>
      <c r="AZ73" s="36">
        <v>2.1858128200116901E-3</v>
      </c>
      <c r="BA73" s="36">
        <v>1.82027049487196E-3</v>
      </c>
      <c r="BB73" s="36">
        <v>2.1800905836534602E-3</v>
      </c>
      <c r="BC73" s="36">
        <v>2.15787818355313E-3</v>
      </c>
      <c r="BD73" s="6">
        <v>6.2368750000000004</v>
      </c>
      <c r="BE73" s="6">
        <v>6.1912000000000003</v>
      </c>
      <c r="BF73" s="6">
        <v>5.942679</v>
      </c>
      <c r="BG73" s="6">
        <v>7.165</v>
      </c>
      <c r="BH73" s="6">
        <v>6.7642860000000002</v>
      </c>
      <c r="BI73" s="6">
        <v>5.8996550000000001</v>
      </c>
      <c r="BJ73" s="6">
        <v>5.6287209999999996</v>
      </c>
      <c r="BK73" s="6">
        <v>5.9837499999999997</v>
      </c>
      <c r="BL73" s="6">
        <v>5.3768419999999999</v>
      </c>
      <c r="BM73" s="6">
        <v>5.8189130000000002</v>
      </c>
      <c r="BN73" s="6">
        <v>5.9361839999999999</v>
      </c>
      <c r="BO73" s="6">
        <v>5.2788709999999996</v>
      </c>
      <c r="BP73" s="6">
        <v>5.6763269999999997</v>
      </c>
      <c r="BQ73" s="6">
        <v>7.0455170000000003</v>
      </c>
      <c r="BR73" s="6">
        <v>6.0257889999999996</v>
      </c>
      <c r="BS73" s="6">
        <v>6.2874999999999996</v>
      </c>
      <c r="BT73" s="6">
        <v>5.7438710000000004</v>
      </c>
    </row>
    <row r="74" spans="1:72">
      <c r="A74" s="7" t="s">
        <v>346</v>
      </c>
      <c r="B74" s="1" t="s">
        <v>81</v>
      </c>
      <c r="C74" s="21">
        <v>0.57017349032714104</v>
      </c>
      <c r="D74" s="21">
        <v>3.4511492946763901E-2</v>
      </c>
      <c r="E74" s="10">
        <v>3.4389334754942732E-3</v>
      </c>
      <c r="F74" s="3">
        <v>4.9335032503973041E-3</v>
      </c>
      <c r="G74" s="3">
        <v>7.6088095238095201</v>
      </c>
      <c r="H74" s="1">
        <v>7.7690719395866399</v>
      </c>
      <c r="I74" s="3">
        <f t="shared" si="3"/>
        <v>-0.16026241577711975</v>
      </c>
      <c r="J74">
        <v>3</v>
      </c>
      <c r="K74">
        <v>2</v>
      </c>
      <c r="L74" s="1">
        <v>0.14008750412634399</v>
      </c>
      <c r="M74" s="4">
        <v>7.1383954353138197</v>
      </c>
      <c r="N74" s="21">
        <v>7.2752036026908904</v>
      </c>
      <c r="O74" s="21" t="s">
        <v>294</v>
      </c>
      <c r="P74" s="21">
        <v>0.57017349032714104</v>
      </c>
      <c r="Q74" s="21">
        <v>0</v>
      </c>
      <c r="R74" s="21">
        <v>0</v>
      </c>
      <c r="S74" s="21">
        <v>0</v>
      </c>
      <c r="T74">
        <v>2.3911904761904799</v>
      </c>
      <c r="U74" s="21">
        <f t="shared" si="4"/>
        <v>10</v>
      </c>
      <c r="V74" s="5">
        <v>0</v>
      </c>
      <c r="W74" s="5">
        <v>0</v>
      </c>
      <c r="X74" s="5">
        <v>9.5500000000000007</v>
      </c>
      <c r="Y74" s="5">
        <v>0</v>
      </c>
      <c r="Z74" s="5">
        <v>7.27</v>
      </c>
      <c r="AA74" s="5">
        <v>5.5</v>
      </c>
      <c r="AB74" s="5">
        <v>7.55</v>
      </c>
      <c r="AC74" s="5">
        <v>9.5500000000000007</v>
      </c>
      <c r="AD74" s="5">
        <v>3.7</v>
      </c>
      <c r="AE74" s="5">
        <v>8.65</v>
      </c>
      <c r="AF74" s="5">
        <v>8.8000000000000007</v>
      </c>
      <c r="AG74" s="5">
        <v>7.5250000000000004</v>
      </c>
      <c r="AH74" s="5">
        <v>7.3</v>
      </c>
      <c r="AI74" s="5">
        <v>0</v>
      </c>
      <c r="AJ74" s="5">
        <v>0</v>
      </c>
      <c r="AK74" s="5">
        <v>9.5500000000000007</v>
      </c>
      <c r="AL74" s="5">
        <v>0</v>
      </c>
      <c r="AM74" s="36">
        <v>1.0417957112045099E-2</v>
      </c>
      <c r="AN74" s="36">
        <v>4.2112812613340099E-3</v>
      </c>
      <c r="AO74" s="36">
        <v>4.5614329573162001E-3</v>
      </c>
      <c r="AP74" s="36">
        <v>4.42064256407245E-3</v>
      </c>
      <c r="AQ74" s="36">
        <v>4.2957036877472503E-3</v>
      </c>
      <c r="AR74" s="36">
        <v>3.8982106711658001E-3</v>
      </c>
      <c r="AS74" s="36">
        <v>3.4829769297227702E-3</v>
      </c>
      <c r="AT74" s="36">
        <v>3.80525021733818E-3</v>
      </c>
      <c r="AU74" s="36">
        <v>3.3875015411378999E-3</v>
      </c>
      <c r="AV74" s="36">
        <v>3.3370614241012499E-3</v>
      </c>
      <c r="AW74" s="36">
        <v>3.3234921762308402E-3</v>
      </c>
      <c r="AX74" s="36">
        <v>3.6424204658351E-3</v>
      </c>
      <c r="AY74" s="36">
        <v>3.4884197233753301E-3</v>
      </c>
      <c r="AZ74" s="36">
        <v>3.7961947666821198E-3</v>
      </c>
      <c r="BA74" s="36">
        <v>3.1613417504532098E-3</v>
      </c>
      <c r="BB74" s="36">
        <v>3.7862567136530802E-3</v>
      </c>
      <c r="BC74" s="36">
        <v>3.7476794867998299E-3</v>
      </c>
      <c r="BD74" s="6">
        <v>8.1567310000000006</v>
      </c>
      <c r="BE74" s="6">
        <v>8.2959999999999994</v>
      </c>
      <c r="BF74" s="6">
        <v>8.2185159999999993</v>
      </c>
      <c r="BG74" s="6">
        <v>8.3947120000000002</v>
      </c>
      <c r="BH74" s="6">
        <v>8.2454049999999999</v>
      </c>
      <c r="BI74" s="6">
        <v>7.3868470000000004</v>
      </c>
      <c r="BJ74" s="6">
        <v>7.9777620000000002</v>
      </c>
      <c r="BK74" s="6">
        <v>7.9013910000000003</v>
      </c>
      <c r="BL74" s="6">
        <v>7.1849480000000003</v>
      </c>
      <c r="BM74" s="6">
        <v>7.8962859999999999</v>
      </c>
      <c r="BN74" s="6">
        <v>7.6803229999999996</v>
      </c>
      <c r="BO74" s="6">
        <v>7.5434400000000004</v>
      </c>
      <c r="BP74" s="6">
        <v>7.6180680000000001</v>
      </c>
      <c r="BQ74" s="6">
        <v>7.7973679999999996</v>
      </c>
      <c r="BR74" s="6">
        <v>8.1966669999999997</v>
      </c>
      <c r="BS74" s="6">
        <v>7.6108820000000001</v>
      </c>
      <c r="BT74" s="6">
        <v>6.8094999999999999</v>
      </c>
    </row>
    <row r="75" spans="1:72">
      <c r="A75" s="7" t="s">
        <v>347</v>
      </c>
      <c r="B75" s="1" t="s">
        <v>82</v>
      </c>
      <c r="C75" s="21">
        <v>0.29464163509686297</v>
      </c>
      <c r="D75" s="21">
        <v>8.6246602573502792E-3</v>
      </c>
      <c r="E75" s="10">
        <v>1.77709591799438E-3</v>
      </c>
      <c r="F75" s="3">
        <v>1.5960531873213207E-2</v>
      </c>
      <c r="G75" s="3">
        <v>6.6450561797752696</v>
      </c>
      <c r="H75" s="1">
        <v>7.5084373285146402</v>
      </c>
      <c r="I75" s="3">
        <f t="shared" si="3"/>
        <v>-0.86338114873937055</v>
      </c>
      <c r="J75">
        <v>8</v>
      </c>
      <c r="K75">
        <v>2</v>
      </c>
      <c r="L75" s="1">
        <v>3.4916962542824503E-2</v>
      </c>
      <c r="M75" s="4">
        <v>28.6393754546528</v>
      </c>
      <c r="N75" s="21">
        <v>5.8903621055096602</v>
      </c>
      <c r="O75" s="21" t="s">
        <v>294</v>
      </c>
      <c r="P75" s="21">
        <v>0.29464163509686297</v>
      </c>
      <c r="Q75" s="21">
        <v>0</v>
      </c>
      <c r="R75" s="21">
        <v>0</v>
      </c>
      <c r="S75" s="21">
        <v>0</v>
      </c>
      <c r="T75">
        <v>0</v>
      </c>
      <c r="U75" s="21">
        <f t="shared" si="4"/>
        <v>6.6450561797752696</v>
      </c>
      <c r="V75" s="5">
        <v>5.14</v>
      </c>
      <c r="W75" s="5">
        <v>7.6</v>
      </c>
      <c r="X75" s="5">
        <v>4.96</v>
      </c>
      <c r="Y75" s="5">
        <v>3.7</v>
      </c>
      <c r="Z75" s="5">
        <v>0</v>
      </c>
      <c r="AA75" s="5">
        <v>4.6900000000000004</v>
      </c>
      <c r="AB75" s="5">
        <v>6.518421</v>
      </c>
      <c r="AC75" s="5">
        <v>6.1749999999999998</v>
      </c>
      <c r="AD75" s="5">
        <v>7.0570000000000004</v>
      </c>
      <c r="AE75" s="5">
        <v>7.7827270000000004</v>
      </c>
      <c r="AF75" s="5">
        <v>6.4276920000000004</v>
      </c>
      <c r="AG75" s="5">
        <v>7.2156250000000002</v>
      </c>
      <c r="AH75" s="5">
        <v>6</v>
      </c>
      <c r="AI75" s="5">
        <v>7.5892860000000004</v>
      </c>
      <c r="AJ75" s="5">
        <v>6.9130000000000003</v>
      </c>
      <c r="AK75" s="5">
        <v>6.8125</v>
      </c>
      <c r="AL75" s="5">
        <v>5.89</v>
      </c>
      <c r="AM75" s="36">
        <v>4.6913790749042502E-3</v>
      </c>
      <c r="AN75" s="36">
        <v>1.89640987916108E-3</v>
      </c>
      <c r="AO75" s="36">
        <v>2.0540890020357399E-3</v>
      </c>
      <c r="AP75" s="36">
        <v>1.9906887501718101E-3</v>
      </c>
      <c r="AQ75" s="36">
        <v>1.9344266995864399E-3</v>
      </c>
      <c r="AR75" s="36">
        <v>1.7554289939561601E-3</v>
      </c>
      <c r="AS75" s="36">
        <v>1.56844234534078E-3</v>
      </c>
      <c r="AT75" s="36">
        <v>1.7135673580144701E-3</v>
      </c>
      <c r="AU75" s="36">
        <v>1.52544819251809E-3</v>
      </c>
      <c r="AV75" s="36">
        <v>1.5027341702720401E-3</v>
      </c>
      <c r="AW75" s="36">
        <v>1.4966237126423101E-3</v>
      </c>
      <c r="AX75" s="36">
        <v>1.6402424171688E-3</v>
      </c>
      <c r="AY75" s="36">
        <v>1.57089332569864E-3</v>
      </c>
      <c r="AZ75" s="36">
        <v>1.7094895382207501E-3</v>
      </c>
      <c r="BA75" s="36">
        <v>1.4236046834508399E-3</v>
      </c>
      <c r="BB75" s="36">
        <v>1.7050142679231001E-3</v>
      </c>
      <c r="BC75" s="36">
        <v>1.6876423021066999E-3</v>
      </c>
      <c r="BD75" s="6">
        <v>7.3466769999999997</v>
      </c>
      <c r="BE75" s="6">
        <v>7.2818579999999997</v>
      </c>
      <c r="BF75" s="6">
        <v>7.5776180000000002</v>
      </c>
      <c r="BG75" s="6">
        <v>7.6848049999999999</v>
      </c>
      <c r="BH75" s="6">
        <v>7.3304799999999997</v>
      </c>
      <c r="BI75" s="6">
        <v>7.3862500000000004</v>
      </c>
      <c r="BJ75" s="6">
        <v>7.4728969999999997</v>
      </c>
      <c r="BK75" s="6">
        <v>7.3321459999999998</v>
      </c>
      <c r="BL75" s="6">
        <v>7.5615139999999998</v>
      </c>
      <c r="BM75" s="6">
        <v>7.419619</v>
      </c>
      <c r="BN75" s="6">
        <v>7.4770159999999999</v>
      </c>
      <c r="BO75" s="6">
        <v>7.579548</v>
      </c>
      <c r="BP75" s="6">
        <v>7.557436</v>
      </c>
      <c r="BQ75" s="6">
        <v>7.7170209999999999</v>
      </c>
      <c r="BR75" s="6">
        <v>7.415845</v>
      </c>
      <c r="BS75" s="6">
        <v>7.7232029999999998</v>
      </c>
      <c r="BT75" s="6">
        <v>7.5310860000000002</v>
      </c>
    </row>
    <row r="76" spans="1:72">
      <c r="A76" s="7" t="s">
        <v>348</v>
      </c>
      <c r="B76" s="1" t="s">
        <v>83</v>
      </c>
      <c r="C76" s="21">
        <v>0.24149028739296099</v>
      </c>
      <c r="D76" s="21">
        <v>1.2886785122759099E-2</v>
      </c>
      <c r="E76" s="10">
        <v>1.4565198968578821E-3</v>
      </c>
      <c r="F76" s="3">
        <v>1.9969710162574185E-2</v>
      </c>
      <c r="G76" s="3">
        <v>5.7605747126436802</v>
      </c>
      <c r="H76" s="1">
        <v>5.7891799084519002</v>
      </c>
      <c r="I76" s="3">
        <f t="shared" si="3"/>
        <v>-2.8605195808220074E-2</v>
      </c>
      <c r="J76">
        <v>8</v>
      </c>
      <c r="K76">
        <v>2</v>
      </c>
      <c r="L76" s="1">
        <v>5.2713323066339503E-2</v>
      </c>
      <c r="M76" s="4">
        <v>18.970536134508201</v>
      </c>
      <c r="N76" s="21">
        <v>5.5883172395497098</v>
      </c>
      <c r="O76" s="21" t="s">
        <v>456</v>
      </c>
      <c r="P76" s="21">
        <v>37.520491873708998</v>
      </c>
      <c r="Q76" s="21">
        <v>6.5036597104592498E-3</v>
      </c>
      <c r="R76" s="21">
        <v>0</v>
      </c>
      <c r="S76" s="21">
        <v>1.1922780525065801E-2</v>
      </c>
      <c r="T76">
        <v>0</v>
      </c>
      <c r="U76" s="21">
        <f t="shared" si="4"/>
        <v>5.7605747126436802</v>
      </c>
      <c r="V76" s="5">
        <v>4.3862500000000004</v>
      </c>
      <c r="W76" s="5">
        <v>6.0657139999999998</v>
      </c>
      <c r="X76" s="5">
        <v>6.7842859999999998</v>
      </c>
      <c r="Y76" s="5">
        <v>4.4349999999999996</v>
      </c>
      <c r="Z76" s="5">
        <v>6.49</v>
      </c>
      <c r="AA76" s="5">
        <v>6.2154999999999996</v>
      </c>
      <c r="AB76" s="5">
        <v>5.17</v>
      </c>
      <c r="AC76" s="5">
        <v>4.5910000000000002</v>
      </c>
      <c r="AD76" s="5">
        <v>5.8487499999999999</v>
      </c>
      <c r="AE76" s="5">
        <v>4.29</v>
      </c>
      <c r="AF76" s="5">
        <v>5.95</v>
      </c>
      <c r="AG76" s="5">
        <v>5.8728569999999998</v>
      </c>
      <c r="AH76" s="5">
        <v>5.6124999999999998</v>
      </c>
      <c r="AI76" s="5">
        <v>7.6</v>
      </c>
      <c r="AJ76" s="5">
        <v>6.55</v>
      </c>
      <c r="AK76" s="5">
        <v>5.4625000000000004</v>
      </c>
      <c r="AL76" s="5">
        <v>6.8821430000000001</v>
      </c>
      <c r="AM76" s="36">
        <v>3.8450861864634499E-3</v>
      </c>
      <c r="AN76" s="36">
        <v>1.55431043064536E-3</v>
      </c>
      <c r="AO76" s="36">
        <v>1.68354531181331E-3</v>
      </c>
      <c r="AP76" s="36">
        <v>1.6315820343275099E-3</v>
      </c>
      <c r="AQ76" s="36">
        <v>1.5854692751422401E-3</v>
      </c>
      <c r="AR76" s="36">
        <v>1.4387615386027999E-3</v>
      </c>
      <c r="AS76" s="36">
        <v>1.28550601007599E-3</v>
      </c>
      <c r="AT76" s="36">
        <v>1.4044514571678599E-3</v>
      </c>
      <c r="AU76" s="36">
        <v>1.25026771010541E-3</v>
      </c>
      <c r="AV76" s="36">
        <v>1.2316511430399699E-3</v>
      </c>
      <c r="AW76" s="36">
        <v>1.2266429704216699E-3</v>
      </c>
      <c r="AX76" s="36">
        <v>1.34435383711471E-3</v>
      </c>
      <c r="AY76" s="36">
        <v>1.2875148502415001E-3</v>
      </c>
      <c r="AZ76" s="36">
        <v>1.40110924833984E-3</v>
      </c>
      <c r="BA76" s="36">
        <v>1.16679607764017E-3</v>
      </c>
      <c r="BB76" s="36">
        <v>1.39744128637654E-3</v>
      </c>
      <c r="BC76" s="36">
        <v>1.3832031050814799E-3</v>
      </c>
      <c r="BD76" s="6">
        <v>5.5351850000000002</v>
      </c>
      <c r="BE76" s="6">
        <v>5.4618450000000003</v>
      </c>
      <c r="BF76" s="6">
        <v>5.9040520000000001</v>
      </c>
      <c r="BG76" s="6">
        <v>6.120196</v>
      </c>
      <c r="BH76" s="6">
        <v>5.6329310000000001</v>
      </c>
      <c r="BI76" s="6">
        <v>5.7695790000000002</v>
      </c>
      <c r="BJ76" s="6">
        <v>5.7583320000000002</v>
      </c>
      <c r="BK76" s="6">
        <v>5.654909</v>
      </c>
      <c r="BL76" s="6">
        <v>5.6509960000000001</v>
      </c>
      <c r="BM76" s="6">
        <v>5.6712369999999996</v>
      </c>
      <c r="BN76" s="6">
        <v>5.9075559999999996</v>
      </c>
      <c r="BO76" s="6">
        <v>6.0250370000000002</v>
      </c>
      <c r="BP76" s="6">
        <v>6.0415479999999997</v>
      </c>
      <c r="BQ76" s="6">
        <v>5.5616760000000003</v>
      </c>
      <c r="BR76" s="6">
        <v>5.7952750000000002</v>
      </c>
      <c r="BS76" s="6">
        <v>5.7791189999999997</v>
      </c>
      <c r="BT76" s="6">
        <v>5.7839179999999999</v>
      </c>
    </row>
    <row r="77" spans="1:72">
      <c r="A77" s="7" t="s">
        <v>349</v>
      </c>
      <c r="B77" s="1" t="s">
        <v>84</v>
      </c>
      <c r="C77" s="21">
        <v>0.267471264671376</v>
      </c>
      <c r="D77" s="21">
        <v>1.5784839662556699E-2</v>
      </c>
      <c r="E77" s="10">
        <v>2.4639191757363341E-3</v>
      </c>
      <c r="F77" s="3">
        <v>3.3015714914673279E-3</v>
      </c>
      <c r="G77" s="3">
        <v>4.7084803921568703</v>
      </c>
      <c r="H77" s="1">
        <v>5.0200493383742302</v>
      </c>
      <c r="I77" s="3">
        <f t="shared" si="3"/>
        <v>-0.31156894621735987</v>
      </c>
      <c r="J77">
        <v>3</v>
      </c>
      <c r="K77">
        <v>2</v>
      </c>
      <c r="L77" s="1">
        <v>4.8195616999790997E-2</v>
      </c>
      <c r="M77" s="4">
        <v>20.748774727883202</v>
      </c>
      <c r="N77" s="21">
        <v>6.4990729113696597</v>
      </c>
      <c r="O77" s="21" t="s">
        <v>294</v>
      </c>
      <c r="P77" s="21">
        <v>0.267471264671376</v>
      </c>
      <c r="Q77" s="21">
        <v>0</v>
      </c>
      <c r="R77" s="21">
        <v>0</v>
      </c>
      <c r="S77" s="21">
        <v>0</v>
      </c>
      <c r="T77">
        <v>0</v>
      </c>
      <c r="U77" s="21">
        <f t="shared" si="4"/>
        <v>4.7084803921568703</v>
      </c>
      <c r="V77" s="5">
        <v>3.61</v>
      </c>
      <c r="W77" s="5">
        <v>4.1449999999999996</v>
      </c>
      <c r="X77" s="5">
        <v>1.9</v>
      </c>
      <c r="Y77" s="5">
        <v>7.5250000000000004</v>
      </c>
      <c r="Z77" s="5">
        <v>3.61</v>
      </c>
      <c r="AA77" s="5">
        <v>4.45</v>
      </c>
      <c r="AB77" s="5">
        <v>5.6349999999999998</v>
      </c>
      <c r="AC77" s="5">
        <v>3.7749999999999999</v>
      </c>
      <c r="AD77" s="5">
        <v>3.9649999999999999</v>
      </c>
      <c r="AE77" s="5">
        <v>4.33</v>
      </c>
      <c r="AF77" s="5">
        <v>4.5376919999999998</v>
      </c>
      <c r="AG77" s="5">
        <v>5.5112500000000004</v>
      </c>
      <c r="AH77" s="5">
        <v>4.7525000000000004</v>
      </c>
      <c r="AI77" s="5">
        <v>4.8731249999999999</v>
      </c>
      <c r="AJ77" s="5">
        <v>5.24125</v>
      </c>
      <c r="AK77" s="5">
        <v>6.85</v>
      </c>
      <c r="AL77" s="5">
        <v>4.612857</v>
      </c>
      <c r="AM77" s="36">
        <v>6.9428871906888302E-3</v>
      </c>
      <c r="AN77" s="36">
        <v>2.80654358731221E-3</v>
      </c>
      <c r="AO77" s="36">
        <v>3.0398967964573999E-3</v>
      </c>
      <c r="AP77" s="36">
        <v>2.9460692055668699E-3</v>
      </c>
      <c r="AQ77" s="36">
        <v>2.86280561418058E-3</v>
      </c>
      <c r="AR77" s="36">
        <v>2.59790251047891E-3</v>
      </c>
      <c r="AS77" s="36">
        <v>2.3211763737132399E-3</v>
      </c>
      <c r="AT77" s="36">
        <v>2.53595044663577E-3</v>
      </c>
      <c r="AU77" s="36">
        <v>2.2575482703046101E-3</v>
      </c>
      <c r="AV77" s="36">
        <v>2.2239332305512101E-3</v>
      </c>
      <c r="AW77" s="36">
        <v>2.2148902141312398E-3</v>
      </c>
      <c r="AX77" s="36">
        <v>2.42743506460692E-3</v>
      </c>
      <c r="AY77" s="36">
        <v>2.32480363978139E-3</v>
      </c>
      <c r="AZ77" s="36">
        <v>2.5299155809044502E-3</v>
      </c>
      <c r="BA77" s="36">
        <v>2.1068275582776601E-3</v>
      </c>
      <c r="BB77" s="36">
        <v>2.52329251840443E-3</v>
      </c>
      <c r="BC77" s="36">
        <v>2.4975833192503898E-3</v>
      </c>
      <c r="BD77" s="6">
        <v>5.1950000000000003</v>
      </c>
      <c r="BE77" s="6">
        <v>5.425522</v>
      </c>
      <c r="BF77" s="6">
        <v>5.247903</v>
      </c>
      <c r="BG77" s="6">
        <v>5.4702310000000001</v>
      </c>
      <c r="BH77" s="6">
        <v>5.359375</v>
      </c>
      <c r="BI77" s="6">
        <v>5.15313</v>
      </c>
      <c r="BJ77" s="6">
        <v>4.8783200000000004</v>
      </c>
      <c r="BK77" s="6">
        <v>4.7195200000000002</v>
      </c>
      <c r="BL77" s="6">
        <v>5.0210090000000003</v>
      </c>
      <c r="BM77" s="6">
        <v>4.9456259999999999</v>
      </c>
      <c r="BN77" s="6">
        <v>5.0208269999999997</v>
      </c>
      <c r="BO77" s="6">
        <v>5.250197</v>
      </c>
      <c r="BP77" s="6">
        <v>4.7404289999999998</v>
      </c>
      <c r="BQ77" s="6">
        <v>4.9350250000000004</v>
      </c>
      <c r="BR77" s="6">
        <v>5.0846780000000003</v>
      </c>
      <c r="BS77" s="6">
        <v>4.8905329999999996</v>
      </c>
      <c r="BT77" s="6">
        <v>4.6945490000000003</v>
      </c>
    </row>
    <row r="78" spans="1:72">
      <c r="A78" s="7" t="s">
        <v>350</v>
      </c>
      <c r="B78" s="1" t="s">
        <v>85</v>
      </c>
      <c r="C78" s="21">
        <v>0.28650884677122701</v>
      </c>
      <c r="D78" s="21">
        <v>2.8930186286893499E-2</v>
      </c>
      <c r="E78" s="10">
        <v>1.7280439741621759E-3</v>
      </c>
      <c r="F78" s="3">
        <v>3.9935040525318549E-3</v>
      </c>
      <c r="G78" s="3">
        <v>5.82837837837838</v>
      </c>
      <c r="H78" s="1">
        <v>5.5645327807083698</v>
      </c>
      <c r="I78" s="3">
        <f t="shared" si="3"/>
        <v>0.26384559767001026</v>
      </c>
      <c r="J78">
        <v>6</v>
      </c>
      <c r="K78">
        <v>4</v>
      </c>
      <c r="L78" s="1">
        <v>8.2661518730837394E-2</v>
      </c>
      <c r="M78" s="4">
        <v>12.0975275479296</v>
      </c>
      <c r="N78" s="21">
        <v>6.7615785454485504</v>
      </c>
      <c r="O78" s="21" t="s">
        <v>294</v>
      </c>
      <c r="P78" s="21">
        <v>0.28650884677122701</v>
      </c>
      <c r="Q78" s="21">
        <v>0</v>
      </c>
      <c r="R78" s="21">
        <v>0</v>
      </c>
      <c r="S78" s="21">
        <v>0</v>
      </c>
      <c r="T78">
        <v>0</v>
      </c>
      <c r="U78" s="21">
        <f t="shared" si="4"/>
        <v>5.82837837837838</v>
      </c>
      <c r="V78" s="5">
        <v>3.8574999999999999</v>
      </c>
      <c r="W78" s="5">
        <v>0</v>
      </c>
      <c r="X78" s="5">
        <v>0</v>
      </c>
      <c r="Y78" s="5">
        <v>0</v>
      </c>
      <c r="Z78" s="5">
        <v>5.5</v>
      </c>
      <c r="AA78" s="5">
        <v>7.21</v>
      </c>
      <c r="AB78" s="5">
        <v>6.0625</v>
      </c>
      <c r="AC78" s="5">
        <v>3.61</v>
      </c>
      <c r="AD78" s="5">
        <v>8.3125</v>
      </c>
      <c r="AE78" s="5">
        <v>5.5</v>
      </c>
      <c r="AF78" s="5">
        <v>5.65</v>
      </c>
      <c r="AG78" s="5">
        <v>4.5999999999999996</v>
      </c>
      <c r="AH78" s="5">
        <v>3.61</v>
      </c>
      <c r="AI78" s="5">
        <v>6.76</v>
      </c>
      <c r="AJ78" s="5">
        <v>0</v>
      </c>
      <c r="AK78" s="5">
        <v>5.2</v>
      </c>
      <c r="AL78" s="5">
        <v>2.8</v>
      </c>
      <c r="AM78" s="36">
        <v>4.5618861980439599E-3</v>
      </c>
      <c r="AN78" s="36">
        <v>1.84406459496256E-3</v>
      </c>
      <c r="AO78" s="36">
        <v>1.9973914105698102E-3</v>
      </c>
      <c r="AP78" s="36">
        <v>1.93574115180524E-3</v>
      </c>
      <c r="AQ78" s="36">
        <v>1.8810320635092199E-3</v>
      </c>
      <c r="AR78" s="36">
        <v>1.7069751071731999E-3</v>
      </c>
      <c r="AS78" s="36">
        <v>1.5251497210942899E-3</v>
      </c>
      <c r="AT78" s="36">
        <v>1.66626894888139E-3</v>
      </c>
      <c r="AU78" s="36">
        <v>1.48334230599803E-3</v>
      </c>
      <c r="AV78" s="36">
        <v>1.4612552431254901E-3</v>
      </c>
      <c r="AW78" s="36">
        <v>1.4553134482119499E-3</v>
      </c>
      <c r="AX78" s="36">
        <v>1.59496794542899E-3</v>
      </c>
      <c r="AY78" s="36">
        <v>1.5275330487443601E-3</v>
      </c>
      <c r="AZ78" s="36">
        <v>1.6623036863140099E-3</v>
      </c>
      <c r="BA78" s="36">
        <v>1.38430991254691E-3</v>
      </c>
      <c r="BB78" s="36">
        <v>1.6579519437928099E-3</v>
      </c>
      <c r="BC78" s="36">
        <v>1.64105948427815E-3</v>
      </c>
      <c r="BD78" s="6">
        <v>5.3019999999999996</v>
      </c>
      <c r="BE78" s="6">
        <v>5.5895239999999999</v>
      </c>
      <c r="BF78" s="6">
        <v>5.5738459999999996</v>
      </c>
      <c r="BG78" s="6">
        <v>5.5553129999999999</v>
      </c>
      <c r="BH78" s="6">
        <v>5.773333</v>
      </c>
      <c r="BI78" s="6">
        <v>5.5718670000000001</v>
      </c>
      <c r="BJ78" s="6">
        <v>5.4707080000000001</v>
      </c>
      <c r="BK78" s="6">
        <v>5.5114619999999999</v>
      </c>
      <c r="BL78" s="6">
        <v>5.2843419999999997</v>
      </c>
      <c r="BM78" s="6">
        <v>5.9198000000000004</v>
      </c>
      <c r="BN78" s="6">
        <v>5.5410380000000004</v>
      </c>
      <c r="BO78" s="6">
        <v>5.3224489999999998</v>
      </c>
      <c r="BP78" s="6">
        <v>5.6880259999999998</v>
      </c>
      <c r="BQ78" s="6">
        <v>5.6542859999999999</v>
      </c>
      <c r="BR78" s="6">
        <v>5.6753850000000003</v>
      </c>
      <c r="BS78" s="6">
        <v>5.681915</v>
      </c>
      <c r="BT78" s="6">
        <v>5.5995999999999997</v>
      </c>
    </row>
    <row r="79" spans="1:72">
      <c r="A79" s="7" t="s">
        <v>351</v>
      </c>
      <c r="B79" s="1" t="s">
        <v>86</v>
      </c>
      <c r="C79" s="21">
        <v>0.59315552686042605</v>
      </c>
      <c r="D79" s="21">
        <v>3.0932415492753499E-2</v>
      </c>
      <c r="E79" s="10">
        <v>3.5775468907268898E-3</v>
      </c>
      <c r="F79" s="3">
        <v>1.3221552407840087E-2</v>
      </c>
      <c r="G79" s="3">
        <v>8.5162430939226308</v>
      </c>
      <c r="H79" s="1">
        <v>8.5551958831346795</v>
      </c>
      <c r="I79" s="3">
        <f t="shared" si="3"/>
        <v>-3.89527892120487E-2</v>
      </c>
      <c r="J79">
        <v>4</v>
      </c>
      <c r="K79">
        <v>1</v>
      </c>
      <c r="L79" s="1">
        <v>6.4257888841729102E-2</v>
      </c>
      <c r="M79" s="4">
        <v>15.5622915415578</v>
      </c>
      <c r="N79" s="21">
        <v>6.9768991813385002</v>
      </c>
      <c r="O79" s="21" t="s">
        <v>294</v>
      </c>
      <c r="P79" s="21">
        <v>0.59315552686042605</v>
      </c>
      <c r="Q79" s="21">
        <v>0</v>
      </c>
      <c r="R79" s="21">
        <v>0</v>
      </c>
      <c r="S79" s="21">
        <v>0</v>
      </c>
      <c r="T79">
        <v>0</v>
      </c>
      <c r="U79" s="21">
        <f t="shared" si="4"/>
        <v>8.5162430939226308</v>
      </c>
      <c r="V79" s="5">
        <v>9.5500000000000007</v>
      </c>
      <c r="W79" s="5">
        <v>9.5500000000000007</v>
      </c>
      <c r="X79" s="5">
        <v>6.2874999999999996</v>
      </c>
      <c r="Y79" s="5">
        <v>8.4700000000000006</v>
      </c>
      <c r="Z79" s="5">
        <v>9.5500000000000007</v>
      </c>
      <c r="AA79" s="5">
        <v>6.85</v>
      </c>
      <c r="AB79" s="5">
        <v>7.8645449999999997</v>
      </c>
      <c r="AC79" s="5">
        <v>7.8815379999999999</v>
      </c>
      <c r="AD79" s="5">
        <v>9.31</v>
      </c>
      <c r="AE79" s="5">
        <v>8.7040000000000006</v>
      </c>
      <c r="AF79" s="5">
        <v>8.8352939999999993</v>
      </c>
      <c r="AG79" s="5">
        <v>9.125</v>
      </c>
      <c r="AH79" s="5">
        <v>8.23</v>
      </c>
      <c r="AI79" s="5">
        <v>8.83</v>
      </c>
      <c r="AJ79" s="5">
        <v>8.7850000000000001</v>
      </c>
      <c r="AK79" s="5">
        <v>8.74</v>
      </c>
      <c r="AL79" s="5">
        <v>7.7090909999999999</v>
      </c>
      <c r="AM79" s="36">
        <v>9.4444134684563402E-3</v>
      </c>
      <c r="AN79" s="36">
        <v>3.8177428680346201E-3</v>
      </c>
      <c r="AO79" s="36">
        <v>4.1351733736481999E-3</v>
      </c>
      <c r="AP79" s="36">
        <v>4.0075396473926803E-3</v>
      </c>
      <c r="AQ79" s="36">
        <v>3.89427613578394E-3</v>
      </c>
      <c r="AR79" s="36">
        <v>3.53392829032403E-3</v>
      </c>
      <c r="AS79" s="36">
        <v>3.1574975661364602E-3</v>
      </c>
      <c r="AT79" s="36">
        <v>3.4496548619809202E-3</v>
      </c>
      <c r="AU79" s="36">
        <v>3.07094422020125E-3</v>
      </c>
      <c r="AV79" s="36">
        <v>3.0252176621469299E-3</v>
      </c>
      <c r="AW79" s="36">
        <v>3.0129164416709802E-3</v>
      </c>
      <c r="AX79" s="36">
        <v>3.3020413249293E-3</v>
      </c>
      <c r="AY79" s="36">
        <v>3.16243173827073E-3</v>
      </c>
      <c r="AZ79" s="36">
        <v>3.4414456306297901E-3</v>
      </c>
      <c r="BA79" s="36">
        <v>2.86591874829791E-3</v>
      </c>
      <c r="BB79" s="36">
        <v>3.4324362748733499E-3</v>
      </c>
      <c r="BC79" s="36">
        <v>3.3974640363672701E-3</v>
      </c>
      <c r="BD79" s="6">
        <v>8.7521260000000005</v>
      </c>
      <c r="BE79" s="6">
        <v>8.6224220000000003</v>
      </c>
      <c r="BF79" s="6">
        <v>8.7269330000000007</v>
      </c>
      <c r="BG79" s="6">
        <v>8.7634270000000001</v>
      </c>
      <c r="BH79" s="6">
        <v>8.741816</v>
      </c>
      <c r="BI79" s="6">
        <v>8.4201119999999996</v>
      </c>
      <c r="BJ79" s="6">
        <v>8.2838989999999999</v>
      </c>
      <c r="BK79" s="6">
        <v>8.5175129999999992</v>
      </c>
      <c r="BL79" s="6">
        <v>8.1633800000000001</v>
      </c>
      <c r="BM79" s="6">
        <v>8.2609139999999996</v>
      </c>
      <c r="BN79" s="6">
        <v>8.5030959999999993</v>
      </c>
      <c r="BO79" s="6">
        <v>8.6648800000000001</v>
      </c>
      <c r="BP79" s="6">
        <v>8.5303749999999994</v>
      </c>
      <c r="BQ79" s="6">
        <v>8.8753550000000008</v>
      </c>
      <c r="BR79" s="6">
        <v>8.8837440000000001</v>
      </c>
      <c r="BS79" s="6">
        <v>8.7827959999999994</v>
      </c>
      <c r="BT79" s="6">
        <v>8.8462409999999991</v>
      </c>
    </row>
    <row r="80" spans="1:72">
      <c r="A80" s="7" t="s">
        <v>352</v>
      </c>
      <c r="B80" s="1" t="s">
        <v>87</v>
      </c>
      <c r="C80" s="21">
        <v>0.36168915367079002</v>
      </c>
      <c r="D80" s="21">
        <v>4.2447140566296497E-2</v>
      </c>
      <c r="E80" s="10">
        <v>3.1232859867762089E-3</v>
      </c>
      <c r="F80" s="3">
        <v>9.4614844978960439E-4</v>
      </c>
      <c r="G80" s="3">
        <v>3.5961538461538498</v>
      </c>
      <c r="H80" s="1">
        <v>5.1470307167235401</v>
      </c>
      <c r="I80" s="3">
        <f t="shared" si="3"/>
        <v>-1.5508768705696903</v>
      </c>
      <c r="J80">
        <v>3</v>
      </c>
      <c r="K80">
        <v>2</v>
      </c>
      <c r="L80" s="1">
        <v>0.15381385348740101</v>
      </c>
      <c r="M80" s="4">
        <v>6.50136497673736</v>
      </c>
      <c r="N80" s="21">
        <v>3.7</v>
      </c>
      <c r="O80" s="21" t="s">
        <v>294</v>
      </c>
      <c r="P80" s="21">
        <v>0.36168915367079002</v>
      </c>
      <c r="Q80" s="21">
        <v>0</v>
      </c>
      <c r="R80" s="21">
        <v>0</v>
      </c>
      <c r="S80" s="21">
        <v>0</v>
      </c>
      <c r="T80">
        <v>6.2002956381661702</v>
      </c>
      <c r="U80" s="21">
        <f t="shared" si="4"/>
        <v>9.7964494843200196</v>
      </c>
      <c r="V80" s="5">
        <v>3.25</v>
      </c>
      <c r="W80" s="5">
        <v>2.8</v>
      </c>
      <c r="X80" s="5">
        <v>0</v>
      </c>
      <c r="Y80" s="5">
        <v>2.8</v>
      </c>
      <c r="Z80" s="5">
        <v>3.25</v>
      </c>
      <c r="AA80" s="5">
        <v>3.7</v>
      </c>
      <c r="AB80" s="5">
        <v>2.8</v>
      </c>
      <c r="AC80" s="5">
        <v>2.8</v>
      </c>
      <c r="AD80" s="5">
        <v>0</v>
      </c>
      <c r="AE80" s="5">
        <v>0</v>
      </c>
      <c r="AF80" s="5">
        <v>4.1500000000000004</v>
      </c>
      <c r="AG80" s="5">
        <v>9.5500000000000007</v>
      </c>
      <c r="AH80" s="5">
        <v>0</v>
      </c>
      <c r="AI80" s="5">
        <v>0</v>
      </c>
      <c r="AJ80" s="5">
        <v>0</v>
      </c>
      <c r="AK80" s="5">
        <v>2.35</v>
      </c>
      <c r="AL80" s="5">
        <v>0</v>
      </c>
      <c r="AM80" s="36">
        <v>7.5174047547197703E-3</v>
      </c>
      <c r="AN80" s="36">
        <v>3.0387825018795799E-3</v>
      </c>
      <c r="AO80" s="36">
        <v>3.2914454756219399E-3</v>
      </c>
      <c r="AP80" s="36">
        <v>3.1898537374139002E-3</v>
      </c>
      <c r="AQ80" s="36">
        <v>3.0997001600056701E-3</v>
      </c>
      <c r="AR80" s="36">
        <v>2.8128765667925202E-3</v>
      </c>
      <c r="AS80" s="36">
        <v>2.5132515953444302E-3</v>
      </c>
      <c r="AT80" s="36">
        <v>2.7457980263369498E-3</v>
      </c>
      <c r="AU80" s="36">
        <v>2.4443583245824701E-3</v>
      </c>
      <c r="AV80" s="36">
        <v>2.4079616710388002E-3</v>
      </c>
      <c r="AW80" s="36">
        <v>2.3981703532821698E-3</v>
      </c>
      <c r="AX80" s="36">
        <v>2.6283030957095399E-3</v>
      </c>
      <c r="AY80" s="36">
        <v>2.5171790143616798E-3</v>
      </c>
      <c r="AZ80" s="36">
        <v>2.7392637809867501E-3</v>
      </c>
      <c r="BA80" s="36">
        <v>2.2811656115069002E-3</v>
      </c>
      <c r="BB80" s="36">
        <v>2.73209266612328E-3</v>
      </c>
      <c r="BC80" s="36">
        <v>2.7042560542567201E-3</v>
      </c>
      <c r="BD80" s="6">
        <v>3.6653850000000001</v>
      </c>
      <c r="BE80" s="6">
        <v>4.7038460000000004</v>
      </c>
      <c r="BF80" s="6">
        <v>5.86</v>
      </c>
      <c r="BG80" s="6">
        <v>4.7012499999999999</v>
      </c>
      <c r="BH80" s="6">
        <v>4.4341670000000004</v>
      </c>
      <c r="BI80" s="6">
        <v>4.68</v>
      </c>
      <c r="BJ80" s="6">
        <v>6.277857</v>
      </c>
      <c r="BK80" s="6">
        <v>4.805714</v>
      </c>
      <c r="BL80" s="6">
        <v>5.1355000000000004</v>
      </c>
      <c r="BM80" s="6">
        <v>5.7308700000000004</v>
      </c>
      <c r="BN80" s="6">
        <v>5.41</v>
      </c>
      <c r="BO80" s="6">
        <v>5.4021739999999996</v>
      </c>
      <c r="BP80" s="6">
        <v>5.032</v>
      </c>
      <c r="BQ80" s="6">
        <v>5.0915379999999999</v>
      </c>
      <c r="BR80" s="6">
        <v>6.0309999999999997</v>
      </c>
      <c r="BS80" s="6">
        <v>2.8867859999999999</v>
      </c>
      <c r="BT80" s="6">
        <v>5.7850000000000001</v>
      </c>
    </row>
    <row r="81" spans="1:72">
      <c r="A81" s="7" t="s">
        <v>353</v>
      </c>
      <c r="B81" s="1" t="s">
        <v>88</v>
      </c>
      <c r="C81" s="21">
        <v>8.0746599284120202E-2</v>
      </c>
      <c r="D81" s="21">
        <v>1.8210703593744399E-2</v>
      </c>
      <c r="E81" s="10">
        <v>4.8701349329861122E-4</v>
      </c>
      <c r="F81" s="3">
        <v>6.5853283294096294E-3</v>
      </c>
      <c r="G81" s="3">
        <v>5.95642011834319</v>
      </c>
      <c r="H81" s="1">
        <v>6.4180675751615199</v>
      </c>
      <c r="I81" s="3">
        <f t="shared" si="3"/>
        <v>-0.46164745681832997</v>
      </c>
      <c r="J81">
        <v>7</v>
      </c>
      <c r="K81">
        <v>4</v>
      </c>
      <c r="L81" s="1">
        <v>7.1911893727627393E-2</v>
      </c>
      <c r="M81" s="4">
        <v>13.905905520825099</v>
      </c>
      <c r="N81" s="21">
        <v>6.7249695925646096</v>
      </c>
      <c r="O81" s="21" t="s">
        <v>456</v>
      </c>
      <c r="P81" s="21">
        <v>2.8343396849332301</v>
      </c>
      <c r="Q81" s="21">
        <v>2.8536935891879299E-2</v>
      </c>
      <c r="R81" s="21">
        <v>0</v>
      </c>
      <c r="S81" s="21">
        <v>5.3057032303910102E-3</v>
      </c>
      <c r="T81">
        <v>0</v>
      </c>
      <c r="U81" s="21">
        <f t="shared" si="4"/>
        <v>5.95642011834319</v>
      </c>
      <c r="V81" s="5">
        <v>5.0724999999999998</v>
      </c>
      <c r="W81" s="5">
        <v>5.94625</v>
      </c>
      <c r="X81" s="5">
        <v>5.1174999999999997</v>
      </c>
      <c r="Y81" s="5">
        <v>5.4606250000000003</v>
      </c>
      <c r="Z81" s="5">
        <v>9.5500000000000007</v>
      </c>
      <c r="AA81" s="5">
        <v>5.954688</v>
      </c>
      <c r="AB81" s="5">
        <v>5.7580770000000001</v>
      </c>
      <c r="AC81" s="5">
        <v>5.8860000000000001</v>
      </c>
      <c r="AD81" s="5">
        <v>6.0062499999999996</v>
      </c>
      <c r="AE81" s="5">
        <v>6.556</v>
      </c>
      <c r="AF81" s="5">
        <v>5.6293749999999996</v>
      </c>
      <c r="AG81" s="5">
        <v>6.3557889999999997</v>
      </c>
      <c r="AH81" s="5">
        <v>5.1100000000000003</v>
      </c>
      <c r="AI81" s="5">
        <v>7.274286</v>
      </c>
      <c r="AJ81" s="5">
        <v>5.5</v>
      </c>
      <c r="AK81" s="5">
        <v>5.5449999999999999</v>
      </c>
      <c r="AL81" s="5">
        <v>9.1</v>
      </c>
      <c r="AM81" s="36">
        <v>1.2856733778532901E-3</v>
      </c>
      <c r="AN81" s="36">
        <v>5.1971150832341099E-4</v>
      </c>
      <c r="AO81" s="36">
        <v>5.6292350362083699E-4</v>
      </c>
      <c r="AP81" s="36">
        <v>5.4554865186206896E-4</v>
      </c>
      <c r="AQ81" s="36">
        <v>5.3013002559757004E-4</v>
      </c>
      <c r="AR81" s="36">
        <v>4.8107566841361701E-4</v>
      </c>
      <c r="AS81" s="36">
        <v>4.29831939799828E-4</v>
      </c>
      <c r="AT81" s="36">
        <v>4.6960347867488599E-4</v>
      </c>
      <c r="AU81" s="36">
        <v>4.1804938358236702E-4</v>
      </c>
      <c r="AV81" s="36">
        <v>4.1182460122318097E-4</v>
      </c>
      <c r="AW81" s="36">
        <v>4.10150029082323E-4</v>
      </c>
      <c r="AX81" s="36">
        <v>4.4950876390706097E-4</v>
      </c>
      <c r="AY81" s="36">
        <v>4.30503631459237E-4</v>
      </c>
      <c r="AZ81" s="36">
        <v>4.6848595134128801E-4</v>
      </c>
      <c r="BA81" s="36">
        <v>3.9013914946477802E-4</v>
      </c>
      <c r="BB81" s="36">
        <v>4.67259502617252E-4</v>
      </c>
      <c r="BC81" s="36">
        <v>4.6249871189569202E-4</v>
      </c>
      <c r="BD81" s="6">
        <v>6.4244070000000004</v>
      </c>
      <c r="BE81" s="6">
        <v>6.4009039999999997</v>
      </c>
      <c r="BF81" s="6">
        <v>6.5110599999999996</v>
      </c>
      <c r="BG81" s="6">
        <v>6.5167820000000001</v>
      </c>
      <c r="BH81" s="6">
        <v>6.61531</v>
      </c>
      <c r="BI81" s="6">
        <v>6.2413230000000004</v>
      </c>
      <c r="BJ81" s="6">
        <v>6.5835790000000003</v>
      </c>
      <c r="BK81" s="6">
        <v>6.3582609999999997</v>
      </c>
      <c r="BL81" s="6">
        <v>6.4103490000000001</v>
      </c>
      <c r="BM81" s="6">
        <v>6.5822459999999996</v>
      </c>
      <c r="BN81" s="6">
        <v>6.6520999999999999</v>
      </c>
      <c r="BO81" s="6">
        <v>6.4457209999999998</v>
      </c>
      <c r="BP81" s="6">
        <v>6.1856280000000003</v>
      </c>
      <c r="BQ81" s="6">
        <v>6.1295760000000001</v>
      </c>
      <c r="BR81" s="6">
        <v>6.2401220000000004</v>
      </c>
      <c r="BS81" s="6">
        <v>6.1785370000000004</v>
      </c>
      <c r="BT81" s="6">
        <v>6.4092580000000003</v>
      </c>
    </row>
    <row r="82" spans="1:72">
      <c r="A82" s="7" t="s">
        <v>354</v>
      </c>
      <c r="B82" s="1" t="s">
        <v>89</v>
      </c>
      <c r="C82" s="21">
        <v>0.207424359243229</v>
      </c>
      <c r="D82" s="21">
        <v>1.8243602392999599E-2</v>
      </c>
      <c r="E82" s="10">
        <v>2.0356427942066599E-3</v>
      </c>
      <c r="F82" s="3">
        <v>4.4075944527839101E-3</v>
      </c>
      <c r="G82" s="3">
        <v>7.0320270270270298</v>
      </c>
      <c r="H82" s="1">
        <v>7.3395129870128901</v>
      </c>
      <c r="I82" s="3">
        <f t="shared" si="3"/>
        <v>-0.30748595998586037</v>
      </c>
      <c r="J82">
        <v>7</v>
      </c>
      <c r="K82">
        <v>4</v>
      </c>
      <c r="L82" s="1">
        <v>0.105292260619403</v>
      </c>
      <c r="M82" s="4">
        <v>9.4973742050678496</v>
      </c>
      <c r="N82" s="21">
        <v>6.8877310272718804</v>
      </c>
      <c r="O82" s="21" t="s">
        <v>294</v>
      </c>
      <c r="P82" s="21">
        <v>0.207424359243229</v>
      </c>
      <c r="Q82" s="21">
        <v>0</v>
      </c>
      <c r="R82" s="21">
        <v>0</v>
      </c>
      <c r="S82" s="21">
        <v>0</v>
      </c>
      <c r="T82">
        <v>0</v>
      </c>
      <c r="U82" s="21">
        <f t="shared" si="4"/>
        <v>7.0320270270270298</v>
      </c>
      <c r="V82" s="5">
        <v>3.6549999999999998</v>
      </c>
      <c r="W82" s="5">
        <v>6.49</v>
      </c>
      <c r="X82" s="5">
        <v>9.5500000000000007</v>
      </c>
      <c r="Y82" s="5">
        <v>6.625</v>
      </c>
      <c r="Z82" s="5">
        <v>4.1500000000000004</v>
      </c>
      <c r="AA82" s="5">
        <v>6.0228570000000001</v>
      </c>
      <c r="AB82" s="5">
        <v>8.4250000000000007</v>
      </c>
      <c r="AC82" s="5">
        <v>7.4124999999999996</v>
      </c>
      <c r="AD82" s="5">
        <v>6.04</v>
      </c>
      <c r="AE82" s="5">
        <v>5.6124999999999998</v>
      </c>
      <c r="AF82" s="5">
        <v>7.9</v>
      </c>
      <c r="AG82" s="5">
        <v>6.3250000000000002</v>
      </c>
      <c r="AH82" s="5">
        <v>9.5500000000000007</v>
      </c>
      <c r="AI82" s="5">
        <v>6.625</v>
      </c>
      <c r="AJ82" s="5">
        <v>7.9749999999999996</v>
      </c>
      <c r="AK82" s="5">
        <v>8.65</v>
      </c>
      <c r="AL82" s="5">
        <v>7.48</v>
      </c>
      <c r="AM82" s="36">
        <v>4.9171521349883097E-3</v>
      </c>
      <c r="AN82" s="36">
        <v>1.9876747833088102E-3</v>
      </c>
      <c r="AO82" s="36">
        <v>2.15294222883112E-3</v>
      </c>
      <c r="AP82" s="36">
        <v>2.0864908338715498E-3</v>
      </c>
      <c r="AQ82" s="36">
        <v>2.0275211667997602E-3</v>
      </c>
      <c r="AR82" s="36">
        <v>1.8399091797177E-3</v>
      </c>
      <c r="AS82" s="36">
        <v>1.6439237810165399E-3</v>
      </c>
      <c r="AT82" s="36">
        <v>1.7960329486013801E-3</v>
      </c>
      <c r="AU82" s="36">
        <v>1.5988605305376001E-3</v>
      </c>
      <c r="AV82" s="36">
        <v>1.5750533938304399E-3</v>
      </c>
      <c r="AW82" s="36">
        <v>1.5686488698514499E-3</v>
      </c>
      <c r="AX82" s="36">
        <v>1.71917923806755E-3</v>
      </c>
      <c r="AY82" s="36">
        <v>1.64649271503509E-3</v>
      </c>
      <c r="AZ82" s="36">
        <v>1.79175888334581E-3</v>
      </c>
      <c r="BA82" s="36">
        <v>1.4921157929989901E-3</v>
      </c>
      <c r="BB82" s="36">
        <v>1.7870682402433399E-3</v>
      </c>
      <c r="BC82" s="36">
        <v>1.7688602469349301E-3</v>
      </c>
      <c r="BD82" s="6">
        <v>7.0419390000000002</v>
      </c>
      <c r="BE82" s="6">
        <v>7.2376550000000002</v>
      </c>
      <c r="BF82" s="6">
        <v>6.8773910000000003</v>
      </c>
      <c r="BG82" s="6">
        <v>6.8006450000000003</v>
      </c>
      <c r="BH82" s="6">
        <v>6.8816899999999999</v>
      </c>
      <c r="BI82" s="6">
        <v>7.1866390000000004</v>
      </c>
      <c r="BJ82" s="6">
        <v>7.1501150000000004</v>
      </c>
      <c r="BK82" s="6">
        <v>6.7400399999999996</v>
      </c>
      <c r="BL82" s="6">
        <v>7.2374619999999998</v>
      </c>
      <c r="BM82" s="6">
        <v>7.3289220000000004</v>
      </c>
      <c r="BN82" s="6">
        <v>7.3061350000000003</v>
      </c>
      <c r="BO82" s="6">
        <v>6.7590909999999997</v>
      </c>
      <c r="BP82" s="6">
        <v>7.6830679999999996</v>
      </c>
      <c r="BQ82" s="6">
        <v>7.6179740000000002</v>
      </c>
      <c r="BR82" s="6">
        <v>7.9724360000000001</v>
      </c>
      <c r="BS82" s="6">
        <v>7.6436140000000004</v>
      </c>
      <c r="BT82" s="6">
        <v>8.1855360000000008</v>
      </c>
    </row>
    <row r="83" spans="1:72">
      <c r="A83" s="7" t="s">
        <v>355</v>
      </c>
      <c r="B83" s="1" t="s">
        <v>90</v>
      </c>
      <c r="C83" s="21">
        <v>0.38890659271758299</v>
      </c>
      <c r="D83" s="21">
        <v>3.9191355939945501E-2</v>
      </c>
      <c r="E83" s="10">
        <v>2.3456437790005942E-3</v>
      </c>
      <c r="F83" s="3">
        <v>1.1476948233760905E-3</v>
      </c>
      <c r="G83" s="3">
        <v>5.6928571428571404</v>
      </c>
      <c r="H83" s="1">
        <v>5.5900598086124296</v>
      </c>
      <c r="I83" s="3">
        <f t="shared" si="3"/>
        <v>0.10279733424471083</v>
      </c>
      <c r="J83">
        <v>2</v>
      </c>
      <c r="K83">
        <v>3</v>
      </c>
      <c r="L83" s="1">
        <v>0.12905513739093699</v>
      </c>
      <c r="M83" s="4">
        <v>7.7486260540777696</v>
      </c>
      <c r="N83" s="21">
        <v>4.96</v>
      </c>
      <c r="O83" s="21" t="s">
        <v>294</v>
      </c>
      <c r="P83" s="21">
        <v>0.38890659271758299</v>
      </c>
      <c r="Q83" s="21">
        <v>0</v>
      </c>
      <c r="R83" s="21">
        <v>0</v>
      </c>
      <c r="S83" s="21">
        <v>0</v>
      </c>
      <c r="T83">
        <v>0</v>
      </c>
      <c r="U83" s="21">
        <f t="shared" si="4"/>
        <v>5.6928571428571404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3.7</v>
      </c>
      <c r="AD83" s="5">
        <v>4.1500000000000004</v>
      </c>
      <c r="AE83" s="5">
        <v>0</v>
      </c>
      <c r="AF83" s="5">
        <v>0</v>
      </c>
      <c r="AG83" s="5">
        <v>0</v>
      </c>
      <c r="AH83" s="5">
        <v>0</v>
      </c>
      <c r="AI83" s="5">
        <v>9.5500000000000007</v>
      </c>
      <c r="AJ83" s="5">
        <v>6.625</v>
      </c>
      <c r="AK83" s="5">
        <v>0</v>
      </c>
      <c r="AL83" s="5">
        <v>4.5999999999999996</v>
      </c>
      <c r="AM83" s="36">
        <v>6.19229611106311E-3</v>
      </c>
      <c r="AN83" s="36">
        <v>2.5031299607675499E-3</v>
      </c>
      <c r="AO83" s="36">
        <v>2.71125550419159E-3</v>
      </c>
      <c r="AP83" s="36">
        <v>2.62757155395241E-3</v>
      </c>
      <c r="AQ83" s="36">
        <v>2.5533095360089301E-3</v>
      </c>
      <c r="AR83" s="36">
        <v>2.3170449368864901E-3</v>
      </c>
      <c r="AS83" s="36">
        <v>2.0702354852189398E-3</v>
      </c>
      <c r="AT83" s="36">
        <v>2.26179047091697E-3</v>
      </c>
      <c r="AU83" s="36">
        <v>2.0134861752459901E-3</v>
      </c>
      <c r="AV83" s="36">
        <v>1.9835052358729102E-3</v>
      </c>
      <c r="AW83" s="36">
        <v>1.9754398541560999E-3</v>
      </c>
      <c r="AX83" s="36">
        <v>2.16500661721573E-3</v>
      </c>
      <c r="AY83" s="36">
        <v>2.0734706098797201E-3</v>
      </c>
      <c r="AZ83" s="36">
        <v>2.2564080306478902E-3</v>
      </c>
      <c r="BA83" s="36">
        <v>1.8790597826937999E-3</v>
      </c>
      <c r="BB83" s="36">
        <v>2.2505009831853798E-3</v>
      </c>
      <c r="BC83" s="36">
        <v>2.2275711890568498E-3</v>
      </c>
      <c r="BD83" s="6">
        <v>5.5750000000000002</v>
      </c>
      <c r="BE83" s="6">
        <v>4.9763640000000002</v>
      </c>
      <c r="BF83" s="6">
        <v>5.25</v>
      </c>
      <c r="BG83" s="6">
        <v>8.65</v>
      </c>
      <c r="BH83" s="6">
        <v>4.8879999999999999</v>
      </c>
      <c r="BI83" s="6">
        <v>5.3823080000000001</v>
      </c>
      <c r="BJ83" s="6">
        <v>5.5232349999999997</v>
      </c>
      <c r="BK83" s="6">
        <v>5.7424489999999997</v>
      </c>
      <c r="BL83" s="6">
        <v>5.628571</v>
      </c>
      <c r="BM83" s="6">
        <v>5.6230000000000002</v>
      </c>
      <c r="BN83" s="6">
        <v>5.6743750000000004</v>
      </c>
      <c r="BO83" s="6">
        <v>5.031053</v>
      </c>
      <c r="BP83" s="6">
        <v>6.5767860000000002</v>
      </c>
      <c r="BQ83" s="6">
        <v>5.722353</v>
      </c>
      <c r="BR83" s="6">
        <v>6.0653129999999997</v>
      </c>
      <c r="BS83" s="6">
        <v>4.9811759999999996</v>
      </c>
      <c r="BT83" s="6">
        <v>5.6862069999999996</v>
      </c>
    </row>
    <row r="84" spans="1:72">
      <c r="A84" s="7" t="s">
        <v>356</v>
      </c>
      <c r="B84" s="1" t="s">
        <v>91</v>
      </c>
      <c r="C84" s="21">
        <v>0.36424025111762398</v>
      </c>
      <c r="D84" s="21">
        <v>1.1331406191687999E-2</v>
      </c>
      <c r="E84" s="10">
        <v>2.196871678429229E-3</v>
      </c>
      <c r="F84" s="3">
        <v>1.5644760322633806E-2</v>
      </c>
      <c r="G84" s="3">
        <v>7.2314703425229601</v>
      </c>
      <c r="H84" s="1">
        <v>7.2348333234623903</v>
      </c>
      <c r="I84" s="3">
        <f t="shared" si="3"/>
        <v>-3.3629809394302157E-3</v>
      </c>
      <c r="J84">
        <v>4</v>
      </c>
      <c r="K84">
        <v>1</v>
      </c>
      <c r="L84" s="1">
        <v>5.00892572395387E-2</v>
      </c>
      <c r="M84" s="4">
        <v>19.964360725449801</v>
      </c>
      <c r="N84" s="21">
        <v>6.3525494162687703</v>
      </c>
      <c r="O84" s="21" t="s">
        <v>456</v>
      </c>
      <c r="P84" s="21">
        <v>34.783095558232297</v>
      </c>
      <c r="Q84" s="21">
        <v>1.04586654481692E-2</v>
      </c>
      <c r="R84" s="21">
        <v>0</v>
      </c>
      <c r="S84" s="21">
        <v>8.2959387275542695E-3</v>
      </c>
      <c r="T84">
        <v>0</v>
      </c>
      <c r="U84" s="21">
        <f t="shared" si="4"/>
        <v>7.2314703425229601</v>
      </c>
      <c r="V84" s="5">
        <v>6.8387500000000001</v>
      </c>
      <c r="W84" s="5">
        <v>7.4349999999999996</v>
      </c>
      <c r="X84" s="5">
        <v>8.125</v>
      </c>
      <c r="Y84" s="5">
        <v>6.7149999999999999</v>
      </c>
      <c r="Z84" s="5">
        <v>8.3000000000000007</v>
      </c>
      <c r="AA84" s="5">
        <v>7.8287500000000003</v>
      </c>
      <c r="AB84" s="5">
        <v>7.7786359999999997</v>
      </c>
      <c r="AC84" s="5">
        <v>7.3224999999999998</v>
      </c>
      <c r="AD84" s="5">
        <v>6.4630000000000001</v>
      </c>
      <c r="AE84" s="5">
        <v>7.1135710000000003</v>
      </c>
      <c r="AF84" s="5">
        <v>6.67</v>
      </c>
      <c r="AG84" s="5">
        <v>7.9864290000000002</v>
      </c>
      <c r="AH84" s="5">
        <v>7.1120000000000001</v>
      </c>
      <c r="AI84" s="5">
        <v>7.5284620000000002</v>
      </c>
      <c r="AJ84" s="5">
        <v>6.38</v>
      </c>
      <c r="AK84" s="5">
        <v>6.4787499999999998</v>
      </c>
      <c r="AL84" s="5">
        <v>8.0350000000000001</v>
      </c>
      <c r="AM84" s="36">
        <v>5.7995506703230502E-3</v>
      </c>
      <c r="AN84" s="36">
        <v>2.3443693230269101E-3</v>
      </c>
      <c r="AO84" s="36">
        <v>2.5392945354565499E-3</v>
      </c>
      <c r="AP84" s="36">
        <v>2.4609182270565301E-3</v>
      </c>
      <c r="AQ84" s="36">
        <v>2.3913662663267799E-3</v>
      </c>
      <c r="AR84" s="36">
        <v>2.1700867135343799E-3</v>
      </c>
      <c r="AS84" s="36">
        <v>1.93893111386865E-3</v>
      </c>
      <c r="AT84" s="36">
        <v>2.1183367536803301E-3</v>
      </c>
      <c r="AU84" s="36">
        <v>1.8857811202651501E-3</v>
      </c>
      <c r="AV84" s="36">
        <v>1.85770171742015E-3</v>
      </c>
      <c r="AW84" s="36">
        <v>1.85014788131425E-3</v>
      </c>
      <c r="AX84" s="36">
        <v>2.0276914012065401E-3</v>
      </c>
      <c r="AY84" s="36">
        <v>1.94196105123896E-3</v>
      </c>
      <c r="AZ84" s="36">
        <v>2.1132956938681698E-3</v>
      </c>
      <c r="BA84" s="36">
        <v>1.7598807012521899E-3</v>
      </c>
      <c r="BB84" s="36">
        <v>2.10776329999417E-3</v>
      </c>
      <c r="BC84" s="36">
        <v>2.0862878245770798E-3</v>
      </c>
      <c r="BD84" s="6">
        <v>7.8045650000000002</v>
      </c>
      <c r="BE84" s="6">
        <v>7.9024760000000001</v>
      </c>
      <c r="BF84" s="6">
        <v>7.7362140000000004</v>
      </c>
      <c r="BG84" s="6">
        <v>7.5797489999999996</v>
      </c>
      <c r="BH84" s="6">
        <v>7.7658769999999997</v>
      </c>
      <c r="BI84" s="6">
        <v>7.3881199999999998</v>
      </c>
      <c r="BJ84" s="6">
        <v>7.0751220000000004</v>
      </c>
      <c r="BK84" s="6">
        <v>7.1316819999999996</v>
      </c>
      <c r="BL84" s="6">
        <v>6.8838609999999996</v>
      </c>
      <c r="BM84" s="6">
        <v>7.0031999999999996</v>
      </c>
      <c r="BN84" s="6">
        <v>7.094417</v>
      </c>
      <c r="BO84" s="6">
        <v>6.9446199999999996</v>
      </c>
      <c r="BP84" s="6">
        <v>7.1768770000000002</v>
      </c>
      <c r="BQ84" s="6">
        <v>6.9163500000000004</v>
      </c>
      <c r="BR84" s="6">
        <v>7.294727</v>
      </c>
      <c r="BS84" s="6">
        <v>7.2118950000000002</v>
      </c>
      <c r="BT84" s="6">
        <v>7.3029809999999999</v>
      </c>
    </row>
    <row r="85" spans="1:72">
      <c r="A85" s="7" t="s">
        <v>357</v>
      </c>
      <c r="B85" s="1" t="s">
        <v>92</v>
      </c>
      <c r="C85" s="21">
        <v>0.42718696302932702</v>
      </c>
      <c r="D85" s="21">
        <v>3.1293525226015403E-2</v>
      </c>
      <c r="E85" s="10">
        <v>2.5765272717491652E-3</v>
      </c>
      <c r="F85" s="3">
        <v>2.9254242921176502E-3</v>
      </c>
      <c r="G85" s="3">
        <v>6.225625</v>
      </c>
      <c r="H85" s="1">
        <v>7.2133652530779999</v>
      </c>
      <c r="I85" s="3">
        <f t="shared" si="3"/>
        <v>-0.98774025307799995</v>
      </c>
      <c r="J85">
        <v>3</v>
      </c>
      <c r="K85">
        <v>2</v>
      </c>
      <c r="L85" s="1">
        <v>0.11372801077787</v>
      </c>
      <c r="M85" s="4">
        <v>8.7929085645678704</v>
      </c>
      <c r="N85" s="21">
        <v>6.3005518829353999</v>
      </c>
      <c r="O85" s="21" t="s">
        <v>294</v>
      </c>
      <c r="P85" s="21">
        <v>0.42718696302932702</v>
      </c>
      <c r="Q85" s="21">
        <v>0</v>
      </c>
      <c r="R85" s="21">
        <v>0</v>
      </c>
      <c r="S85" s="21">
        <v>0</v>
      </c>
      <c r="T85">
        <v>0</v>
      </c>
      <c r="U85" s="21">
        <f t="shared" si="4"/>
        <v>6.225625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6.1749999999999998</v>
      </c>
      <c r="AB85" s="5">
        <v>5.5</v>
      </c>
      <c r="AC85" s="5">
        <v>5.5</v>
      </c>
      <c r="AD85" s="5">
        <v>3.7</v>
      </c>
      <c r="AE85" s="5">
        <v>9.5500000000000007</v>
      </c>
      <c r="AF85" s="5">
        <v>3.61</v>
      </c>
      <c r="AG85" s="5">
        <v>0</v>
      </c>
      <c r="AH85" s="5">
        <v>6.1</v>
      </c>
      <c r="AI85" s="5">
        <v>9.5500000000000007</v>
      </c>
      <c r="AJ85" s="5">
        <v>9.5500000000000007</v>
      </c>
      <c r="AK85" s="5">
        <v>5.95</v>
      </c>
      <c r="AL85" s="5">
        <v>0</v>
      </c>
      <c r="AM85" s="36">
        <v>6.8018085046563101E-3</v>
      </c>
      <c r="AN85" s="36">
        <v>2.7495149375997298E-3</v>
      </c>
      <c r="AO85" s="36">
        <v>2.9781264358077499E-3</v>
      </c>
      <c r="AP85" s="36">
        <v>2.8862054110003E-3</v>
      </c>
      <c r="AQ85" s="36">
        <v>2.8046337264165402E-3</v>
      </c>
      <c r="AR85" s="36">
        <v>2.5451134239573101E-3</v>
      </c>
      <c r="AS85" s="36">
        <v>2.27401033113482E-3</v>
      </c>
      <c r="AT85" s="36">
        <v>2.4844202190764399E-3</v>
      </c>
      <c r="AU85" s="36">
        <v>2.2116751436237199E-3</v>
      </c>
      <c r="AV85" s="36">
        <v>2.1787431576934801E-3</v>
      </c>
      <c r="AW85" s="36">
        <v>2.1698838943490298E-3</v>
      </c>
      <c r="AX85" s="36">
        <v>2.3781098573929398E-3</v>
      </c>
      <c r="AY85" s="36">
        <v>2.27756389156485E-3</v>
      </c>
      <c r="AZ85" s="36">
        <v>2.4785079811373298E-3</v>
      </c>
      <c r="BA85" s="36">
        <v>2.0640170594959E-3</v>
      </c>
      <c r="BB85" s="36">
        <v>2.47201949852163E-3</v>
      </c>
      <c r="BC85" s="36">
        <v>2.4468327073998699E-3</v>
      </c>
      <c r="BD85" s="6">
        <v>7.9685709999999998</v>
      </c>
      <c r="BE85" s="6">
        <v>7.309844</v>
      </c>
      <c r="BF85" s="6">
        <v>6.8993549999999999</v>
      </c>
      <c r="BG85" s="6">
        <v>7.3610420000000003</v>
      </c>
      <c r="BH85" s="6">
        <v>7.9749999999999996</v>
      </c>
      <c r="BI85" s="6">
        <v>7.0324999999999998</v>
      </c>
      <c r="BJ85" s="6">
        <v>6.6735530000000001</v>
      </c>
      <c r="BK85" s="6">
        <v>7.5235479999999999</v>
      </c>
      <c r="BL85" s="6">
        <v>6.623246</v>
      </c>
      <c r="BM85" s="6">
        <v>7.1478570000000001</v>
      </c>
      <c r="BN85" s="6">
        <v>7.3906720000000004</v>
      </c>
      <c r="BO85" s="6">
        <v>7.1643080000000001</v>
      </c>
      <c r="BP85" s="6">
        <v>6.4294440000000002</v>
      </c>
      <c r="BQ85" s="6">
        <v>7.1215520000000003</v>
      </c>
      <c r="BR85" s="6">
        <v>8.135294</v>
      </c>
      <c r="BS85" s="6">
        <v>7.3984379999999996</v>
      </c>
      <c r="BT85" s="6">
        <v>7.6224999999999996</v>
      </c>
    </row>
    <row r="86" spans="1:72">
      <c r="A86" s="7" t="s">
        <v>358</v>
      </c>
      <c r="B86" s="1" t="s">
        <v>93</v>
      </c>
      <c r="C86" s="21">
        <v>0.42173249469723101</v>
      </c>
      <c r="D86" s="21">
        <v>1.0479093173325399E-2</v>
      </c>
      <c r="E86" s="10">
        <v>2.5436292958585182E-3</v>
      </c>
      <c r="F86" s="3">
        <v>1.0422606410331556E-2</v>
      </c>
      <c r="G86" s="3">
        <v>7.2188636363636203</v>
      </c>
      <c r="H86" s="1">
        <v>6.8360554349969203</v>
      </c>
      <c r="I86" s="3">
        <f t="shared" si="3"/>
        <v>0.38280820136670002</v>
      </c>
      <c r="J86">
        <v>1</v>
      </c>
      <c r="K86">
        <v>2</v>
      </c>
      <c r="L86" s="1">
        <v>5.0486860765271299E-2</v>
      </c>
      <c r="M86" s="4">
        <v>19.8071336748249</v>
      </c>
      <c r="N86" s="21">
        <v>6.7958979254233602</v>
      </c>
      <c r="O86" s="21" t="s">
        <v>294</v>
      </c>
      <c r="P86" s="21">
        <v>0.42173249469723101</v>
      </c>
      <c r="Q86" s="21">
        <v>0</v>
      </c>
      <c r="R86" s="21">
        <v>0</v>
      </c>
      <c r="S86" s="21">
        <v>0</v>
      </c>
      <c r="T86">
        <v>0</v>
      </c>
      <c r="U86" s="21">
        <f t="shared" si="4"/>
        <v>7.2188636363636203</v>
      </c>
      <c r="V86" s="5">
        <v>7.09</v>
      </c>
      <c r="W86" s="5">
        <v>6.85</v>
      </c>
      <c r="X86" s="5">
        <v>7.8040000000000003</v>
      </c>
      <c r="Y86" s="5">
        <v>8.0875000000000004</v>
      </c>
      <c r="Z86" s="5">
        <v>6.625</v>
      </c>
      <c r="AA86" s="5">
        <v>7.4157140000000004</v>
      </c>
      <c r="AB86" s="5">
        <v>5.8150000000000004</v>
      </c>
      <c r="AC86" s="5">
        <v>6.8764710000000004</v>
      </c>
      <c r="AD86" s="5">
        <v>8.3125</v>
      </c>
      <c r="AE86" s="5">
        <v>8.7231249999999996</v>
      </c>
      <c r="AF86" s="5">
        <v>7.0942860000000003</v>
      </c>
      <c r="AG86" s="5">
        <v>7.6458820000000003</v>
      </c>
      <c r="AH86" s="5">
        <v>7.444</v>
      </c>
      <c r="AI86" s="5">
        <v>5.6260000000000003</v>
      </c>
      <c r="AJ86" s="5">
        <v>7.338571</v>
      </c>
      <c r="AK86" s="5">
        <v>7.8174999999999999</v>
      </c>
      <c r="AL86" s="5">
        <v>7.6857139999999999</v>
      </c>
      <c r="AM86" s="36">
        <v>6.7149607019365296E-3</v>
      </c>
      <c r="AN86" s="36">
        <v>2.7144081963981501E-3</v>
      </c>
      <c r="AO86" s="36">
        <v>2.9401007052988E-3</v>
      </c>
      <c r="AP86" s="36">
        <v>2.8493533593773098E-3</v>
      </c>
      <c r="AQ86" s="36">
        <v>2.7688232097861001E-3</v>
      </c>
      <c r="AR86" s="36">
        <v>2.5126165507518999E-3</v>
      </c>
      <c r="AS86" s="36">
        <v>2.24497499435844E-3</v>
      </c>
      <c r="AT86" s="36">
        <v>2.45269829733877E-3</v>
      </c>
      <c r="AU86" s="36">
        <v>2.1834357237073602E-3</v>
      </c>
      <c r="AV86" s="36">
        <v>2.1509242245660799E-3</v>
      </c>
      <c r="AW86" s="36">
        <v>2.14217807930701E-3</v>
      </c>
      <c r="AX86" s="36">
        <v>2.3477453424849701E-3</v>
      </c>
      <c r="AY86" s="36">
        <v>2.2484831817211502E-3</v>
      </c>
      <c r="AZ86" s="36">
        <v>2.4468615488630599E-3</v>
      </c>
      <c r="BA86" s="36">
        <v>2.0376629881822699E-3</v>
      </c>
      <c r="BB86" s="36">
        <v>2.44045591339863E-3</v>
      </c>
      <c r="BC86" s="36">
        <v>2.41559071578616E-3</v>
      </c>
      <c r="BD86" s="6">
        <v>6.8821430000000001</v>
      </c>
      <c r="BE86" s="6">
        <v>7.0522499999999999</v>
      </c>
      <c r="BF86" s="6">
        <v>6.7477840000000002</v>
      </c>
      <c r="BG86" s="6">
        <v>6.8907720000000001</v>
      </c>
      <c r="BH86" s="6">
        <v>7.1696179999999998</v>
      </c>
      <c r="BI86" s="6">
        <v>6.6552790000000002</v>
      </c>
      <c r="BJ86" s="6">
        <v>6.4748390000000002</v>
      </c>
      <c r="BK86" s="6">
        <v>6.3749349999999998</v>
      </c>
      <c r="BL86" s="6">
        <v>6.7363970000000002</v>
      </c>
      <c r="BM86" s="6">
        <v>6.7381739999999999</v>
      </c>
      <c r="BN86" s="6">
        <v>6.64032</v>
      </c>
      <c r="BO86" s="6">
        <v>6.8903999999999996</v>
      </c>
      <c r="BP86" s="6">
        <v>7.0836600000000001</v>
      </c>
      <c r="BQ86" s="6">
        <v>6.935149</v>
      </c>
      <c r="BR86" s="6">
        <v>7.1863859999999997</v>
      </c>
      <c r="BS86" s="6">
        <v>7.1607729999999998</v>
      </c>
      <c r="BT86" s="6">
        <v>7.1260909999999997</v>
      </c>
    </row>
    <row r="87" spans="1:72">
      <c r="A87" s="7" t="s">
        <v>359</v>
      </c>
      <c r="B87" s="1" t="s">
        <v>94</v>
      </c>
      <c r="C87" s="21">
        <v>0.26797704331975802</v>
      </c>
      <c r="D87" s="21">
        <v>1.6913110087731501E-2</v>
      </c>
      <c r="E87" s="10">
        <v>1.616271609554394E-3</v>
      </c>
      <c r="F87" s="3">
        <v>7.9420220483183507E-2</v>
      </c>
      <c r="G87" s="3">
        <v>9.0010733532933092</v>
      </c>
      <c r="H87" s="1">
        <v>9.0738488128551893</v>
      </c>
      <c r="I87" s="3">
        <f t="shared" si="3"/>
        <v>-7.277545956188014E-2</v>
      </c>
      <c r="J87">
        <v>8</v>
      </c>
      <c r="K87">
        <v>2</v>
      </c>
      <c r="L87" s="1">
        <v>3.3081104244492503E-2</v>
      </c>
      <c r="M87" s="4">
        <v>30.228737003737901</v>
      </c>
      <c r="N87" s="21">
        <v>8.5332736403860991</v>
      </c>
      <c r="O87" s="21" t="s">
        <v>294</v>
      </c>
      <c r="P87" s="21">
        <v>0.26797704331975802</v>
      </c>
      <c r="Q87" s="21">
        <v>0</v>
      </c>
      <c r="R87" s="21">
        <v>0</v>
      </c>
      <c r="S87" s="21">
        <v>0</v>
      </c>
      <c r="T87">
        <v>0</v>
      </c>
      <c r="U87" s="21">
        <f t="shared" si="4"/>
        <v>9.0010733532933092</v>
      </c>
      <c r="V87" s="5">
        <v>8.9419229999999992</v>
      </c>
      <c r="W87" s="5">
        <v>8.8063160000000007</v>
      </c>
      <c r="X87" s="5">
        <v>8.7436729999999994</v>
      </c>
      <c r="Y87" s="5">
        <v>9.0906249999999993</v>
      </c>
      <c r="Z87" s="5">
        <v>8.4586539999999992</v>
      </c>
      <c r="AA87" s="5">
        <v>8.6739999999999995</v>
      </c>
      <c r="AB87" s="5">
        <v>9.1053929999999994</v>
      </c>
      <c r="AC87" s="5">
        <v>9.0158819999999995</v>
      </c>
      <c r="AD87" s="5">
        <v>8.8963970000000003</v>
      </c>
      <c r="AE87" s="5">
        <v>9.0995509999999999</v>
      </c>
      <c r="AF87" s="5">
        <v>9.0063110000000002</v>
      </c>
      <c r="AG87" s="5">
        <v>8.9290350000000007</v>
      </c>
      <c r="AH87" s="5">
        <v>9.1255000000000006</v>
      </c>
      <c r="AI87" s="5">
        <v>9.1470920000000007</v>
      </c>
      <c r="AJ87" s="5">
        <v>9.0821620000000003</v>
      </c>
      <c r="AK87" s="5">
        <v>9.2529909999999997</v>
      </c>
      <c r="AL87" s="5">
        <v>8.9521569999999997</v>
      </c>
      <c r="AM87" s="36">
        <v>4.2668168508219403E-3</v>
      </c>
      <c r="AN87" s="36">
        <v>1.7247878500704699E-3</v>
      </c>
      <c r="AO87" s="36">
        <v>1.86819726716562E-3</v>
      </c>
      <c r="AP87" s="36">
        <v>1.81053463562803E-3</v>
      </c>
      <c r="AQ87" s="36">
        <v>1.7593642096900401E-3</v>
      </c>
      <c r="AR87" s="36">
        <v>1.59656550712359E-3</v>
      </c>
      <c r="AS87" s="36">
        <v>1.4265008480004999E-3</v>
      </c>
      <c r="AT87" s="36">
        <v>1.5584922815779501E-3</v>
      </c>
      <c r="AU87" s="36">
        <v>1.3873975965212101E-3</v>
      </c>
      <c r="AV87" s="36">
        <v>1.36673915657807E-3</v>
      </c>
      <c r="AW87" s="36">
        <v>1.36118168548813E-3</v>
      </c>
      <c r="AX87" s="36">
        <v>1.4918031293712E-3</v>
      </c>
      <c r="AY87" s="36">
        <v>1.4287300185972401E-3</v>
      </c>
      <c r="AZ87" s="36">
        <v>1.5547834978849901E-3</v>
      </c>
      <c r="BA87" s="36">
        <v>1.29477076042529E-3</v>
      </c>
      <c r="BB87" s="36">
        <v>1.5507132323163599E-3</v>
      </c>
      <c r="BC87" s="36">
        <v>1.53491340132981E-3</v>
      </c>
      <c r="BD87" s="6">
        <v>9.1339810000000003</v>
      </c>
      <c r="BE87" s="6">
        <v>9.0929450000000003</v>
      </c>
      <c r="BF87" s="6">
        <v>9.0793479999999995</v>
      </c>
      <c r="BG87" s="6">
        <v>9.0752819999999996</v>
      </c>
      <c r="BH87" s="6">
        <v>9.0736509999999999</v>
      </c>
      <c r="BI87" s="6">
        <v>9.0172299999999996</v>
      </c>
      <c r="BJ87" s="6">
        <v>9.0621270000000003</v>
      </c>
      <c r="BK87" s="6">
        <v>9.0821799999999993</v>
      </c>
      <c r="BL87" s="6">
        <v>9.0355670000000003</v>
      </c>
      <c r="BM87" s="6">
        <v>9.0326240000000002</v>
      </c>
      <c r="BN87" s="6">
        <v>9.075075</v>
      </c>
      <c r="BO87" s="6">
        <v>9.0123200000000008</v>
      </c>
      <c r="BP87" s="6">
        <v>9.0925799999999999</v>
      </c>
      <c r="BQ87" s="6">
        <v>9.0753819999999994</v>
      </c>
      <c r="BR87" s="6">
        <v>9.1445819999999998</v>
      </c>
      <c r="BS87" s="6">
        <v>9.1151870000000006</v>
      </c>
      <c r="BT87" s="6">
        <v>9.1259189999999997</v>
      </c>
    </row>
    <row r="88" spans="1:72">
      <c r="A88" s="7" t="s">
        <v>360</v>
      </c>
      <c r="B88" s="1" t="s">
        <v>95</v>
      </c>
      <c r="C88" s="21">
        <v>0.30270417771854002</v>
      </c>
      <c r="D88" s="21">
        <v>1.4647339120621499E-2</v>
      </c>
      <c r="E88" s="10">
        <v>1.825724183232345E-3</v>
      </c>
      <c r="F88" s="3">
        <v>5.7600466589669266E-3</v>
      </c>
      <c r="G88" s="3">
        <v>6.5034188034187999</v>
      </c>
      <c r="H88" s="1">
        <v>6.5523822733422801</v>
      </c>
      <c r="I88" s="3">
        <f t="shared" si="3"/>
        <v>-4.8963469923480218E-2</v>
      </c>
      <c r="J88">
        <v>7</v>
      </c>
      <c r="K88">
        <v>4</v>
      </c>
      <c r="L88" s="1">
        <v>6.0428290811993503E-2</v>
      </c>
      <c r="M88" s="4">
        <v>16.548540204640801</v>
      </c>
      <c r="N88" s="21">
        <v>6.92539251446102</v>
      </c>
      <c r="O88" s="21" t="s">
        <v>294</v>
      </c>
      <c r="P88" s="21">
        <v>0.30270417771854002</v>
      </c>
      <c r="Q88" s="21">
        <v>0</v>
      </c>
      <c r="R88" s="21">
        <v>0</v>
      </c>
      <c r="S88" s="21">
        <v>0</v>
      </c>
      <c r="T88">
        <v>0</v>
      </c>
      <c r="U88" s="21">
        <f t="shared" si="4"/>
        <v>6.5034188034187999</v>
      </c>
      <c r="V88" s="5">
        <v>5.4325000000000001</v>
      </c>
      <c r="W88" s="5">
        <v>5.8937499999999998</v>
      </c>
      <c r="X88" s="5">
        <v>5.6124999999999998</v>
      </c>
      <c r="Y88" s="5">
        <v>0</v>
      </c>
      <c r="Z88" s="5">
        <v>7.9749999999999996</v>
      </c>
      <c r="AA88" s="5">
        <v>9.5500000000000007</v>
      </c>
      <c r="AB88" s="5">
        <v>5.9607140000000003</v>
      </c>
      <c r="AC88" s="5">
        <v>5.1624999999999996</v>
      </c>
      <c r="AD88" s="5">
        <v>6.1749999999999998</v>
      </c>
      <c r="AE88" s="5">
        <v>8.8000000000000007</v>
      </c>
      <c r="AF88" s="5">
        <v>7.1585710000000002</v>
      </c>
      <c r="AG88" s="5">
        <v>6.2359999999999998</v>
      </c>
      <c r="AH88" s="5">
        <v>6.76</v>
      </c>
      <c r="AI88" s="5">
        <v>7.78</v>
      </c>
      <c r="AJ88" s="5">
        <v>6.7240000000000002</v>
      </c>
      <c r="AK88" s="5">
        <v>5.7571430000000001</v>
      </c>
      <c r="AL88" s="5">
        <v>7.39</v>
      </c>
      <c r="AM88" s="36">
        <v>4.81975347702643E-3</v>
      </c>
      <c r="AN88" s="36">
        <v>1.94830303904624E-3</v>
      </c>
      <c r="AO88" s="36">
        <v>2.110296876806E-3</v>
      </c>
      <c r="AP88" s="36">
        <v>2.04516174713803E-3</v>
      </c>
      <c r="AQ88" s="36">
        <v>1.9873601477353999E-3</v>
      </c>
      <c r="AR88" s="36">
        <v>1.8034643677703401E-3</v>
      </c>
      <c r="AS88" s="36">
        <v>1.6113610362270699E-3</v>
      </c>
      <c r="AT88" s="36">
        <v>1.7604572344386399E-3</v>
      </c>
      <c r="AU88" s="36">
        <v>1.5671903959419101E-3</v>
      </c>
      <c r="AV88" s="36">
        <v>1.5438548295871599E-3</v>
      </c>
      <c r="AW88" s="36">
        <v>1.5375771660394401E-3</v>
      </c>
      <c r="AX88" s="36">
        <v>1.68512583764656E-3</v>
      </c>
      <c r="AY88" s="36">
        <v>1.6138790849528899E-3</v>
      </c>
      <c r="AZ88" s="36">
        <v>1.7562678296142401E-3</v>
      </c>
      <c r="BA88" s="36">
        <v>1.4625600518357799E-3</v>
      </c>
      <c r="BB88" s="36">
        <v>1.75167009849225E-3</v>
      </c>
      <c r="BC88" s="36">
        <v>1.73382276803578E-3</v>
      </c>
      <c r="BD88" s="6">
        <v>6.3798859999999999</v>
      </c>
      <c r="BE88" s="6">
        <v>6.5658669999999999</v>
      </c>
      <c r="BF88" s="6">
        <v>6.4183380000000003</v>
      </c>
      <c r="BG88" s="6">
        <v>6.6349999999999998</v>
      </c>
      <c r="BH88" s="6">
        <v>6.0654389999999996</v>
      </c>
      <c r="BI88" s="6">
        <v>6.3433890000000002</v>
      </c>
      <c r="BJ88" s="6">
        <v>6.2154610000000003</v>
      </c>
      <c r="BK88" s="6">
        <v>6.277965</v>
      </c>
      <c r="BL88" s="6">
        <v>6.3891369999999998</v>
      </c>
      <c r="BM88" s="6">
        <v>6.5272300000000003</v>
      </c>
      <c r="BN88" s="6">
        <v>6.5967700000000002</v>
      </c>
      <c r="BO88" s="6">
        <v>6.5379880000000004</v>
      </c>
      <c r="BP88" s="6">
        <v>6.7401790000000004</v>
      </c>
      <c r="BQ88" s="6">
        <v>6.9187019999999997</v>
      </c>
      <c r="BR88" s="6">
        <v>7.2158819999999997</v>
      </c>
      <c r="BS88" s="6">
        <v>6.727614</v>
      </c>
      <c r="BT88" s="6">
        <v>6.9245710000000003</v>
      </c>
    </row>
    <row r="89" spans="1:72">
      <c r="A89" s="7" t="s">
        <v>361</v>
      </c>
      <c r="B89" s="1" t="s">
        <v>96</v>
      </c>
      <c r="C89" s="21">
        <v>0.26478465147852198</v>
      </c>
      <c r="D89" s="21">
        <v>1.6623286038414301E-2</v>
      </c>
      <c r="E89" s="10">
        <v>1.5970170785108301E-3</v>
      </c>
      <c r="F89" s="3">
        <v>5.1156467516782177E-3</v>
      </c>
      <c r="G89" s="3">
        <v>7.3207142857142804</v>
      </c>
      <c r="H89" s="1">
        <v>6.9781970983721502</v>
      </c>
      <c r="I89" s="3">
        <f t="shared" si="3"/>
        <v>0.34251718734213021</v>
      </c>
      <c r="J89">
        <v>6</v>
      </c>
      <c r="K89">
        <v>4</v>
      </c>
      <c r="L89" s="1">
        <v>0.108002865086433</v>
      </c>
      <c r="M89" s="4">
        <v>9.2590136307931807</v>
      </c>
      <c r="N89" s="21">
        <v>7.0730060332107598</v>
      </c>
      <c r="O89" s="21" t="s">
        <v>294</v>
      </c>
      <c r="P89" s="21">
        <v>0.26478465147852198</v>
      </c>
      <c r="Q89" s="21">
        <v>0</v>
      </c>
      <c r="R89" s="21">
        <v>0</v>
      </c>
      <c r="S89" s="21">
        <v>0</v>
      </c>
      <c r="T89">
        <v>0</v>
      </c>
      <c r="U89" s="21">
        <f t="shared" si="4"/>
        <v>7.3207142857142804</v>
      </c>
      <c r="V89" s="5">
        <v>5.95</v>
      </c>
      <c r="W89" s="5">
        <v>6.625</v>
      </c>
      <c r="X89" s="5">
        <v>6.85</v>
      </c>
      <c r="Y89" s="5">
        <v>7.5250000000000004</v>
      </c>
      <c r="Z89" s="5">
        <v>2.71</v>
      </c>
      <c r="AA89" s="5">
        <v>6.94</v>
      </c>
      <c r="AB89" s="5">
        <v>6.25</v>
      </c>
      <c r="AC89" s="5">
        <v>6.9249999999999998</v>
      </c>
      <c r="AD89" s="5">
        <v>7.75</v>
      </c>
      <c r="AE89" s="5">
        <v>8.2539999999999996</v>
      </c>
      <c r="AF89" s="5">
        <v>7.3</v>
      </c>
      <c r="AG89" s="5">
        <v>7.3409089999999999</v>
      </c>
      <c r="AH89" s="5">
        <v>6.625</v>
      </c>
      <c r="AI89" s="5">
        <v>8.9714290000000005</v>
      </c>
      <c r="AJ89" s="5">
        <v>7.5250000000000004</v>
      </c>
      <c r="AK89" s="5">
        <v>6.5620000000000003</v>
      </c>
      <c r="AL89" s="5">
        <v>7.75</v>
      </c>
      <c r="AM89" s="36">
        <v>4.2159865590407197E-3</v>
      </c>
      <c r="AN89" s="36">
        <v>1.7042405726163401E-3</v>
      </c>
      <c r="AO89" s="36">
        <v>1.84594156332011E-3</v>
      </c>
      <c r="AP89" s="36">
        <v>1.78896586269341E-3</v>
      </c>
      <c r="AQ89" s="36">
        <v>1.7384050264734499E-3</v>
      </c>
      <c r="AR89" s="36">
        <v>1.57754573350493E-3</v>
      </c>
      <c r="AS89" s="36">
        <v>1.4095070428138401E-3</v>
      </c>
      <c r="AT89" s="36">
        <v>1.5399260716418099E-3</v>
      </c>
      <c r="AU89" s="36">
        <v>1.37086962564425E-3</v>
      </c>
      <c r="AV89" s="36">
        <v>1.35045728825642E-3</v>
      </c>
      <c r="AW89" s="36">
        <v>1.34496602293226E-3</v>
      </c>
      <c r="AX89" s="36">
        <v>1.47403138265762E-3</v>
      </c>
      <c r="AY89" s="36">
        <v>1.4117096574566201E-3</v>
      </c>
      <c r="AZ89" s="36">
        <v>1.53626147043052E-3</v>
      </c>
      <c r="BA89" s="36">
        <v>1.2793462465913901E-3</v>
      </c>
      <c r="BB89" s="36">
        <v>1.5322396936519401E-3</v>
      </c>
      <c r="BC89" s="36">
        <v>1.51662808495081E-3</v>
      </c>
      <c r="BD89" s="6">
        <v>6.8245880000000003</v>
      </c>
      <c r="BE89" s="6">
        <v>6.9247639999999997</v>
      </c>
      <c r="BF89" s="6">
        <v>7.0507239999999998</v>
      </c>
      <c r="BG89" s="6">
        <v>6.7374999999999998</v>
      </c>
      <c r="BH89" s="6">
        <v>6.7438890000000002</v>
      </c>
      <c r="BI89" s="6">
        <v>6.7204550000000003</v>
      </c>
      <c r="BJ89" s="6">
        <v>6.5565709999999999</v>
      </c>
      <c r="BK89" s="6">
        <v>6.2539499999999997</v>
      </c>
      <c r="BL89" s="6">
        <v>6.9645809999999999</v>
      </c>
      <c r="BM89" s="6">
        <v>6.909567</v>
      </c>
      <c r="BN89" s="6">
        <v>7.0333649999999999</v>
      </c>
      <c r="BO89" s="6">
        <v>6.9643459999999999</v>
      </c>
      <c r="BP89" s="6">
        <v>7.2184270000000001</v>
      </c>
      <c r="BQ89" s="6">
        <v>7.3374430000000004</v>
      </c>
      <c r="BR89" s="6">
        <v>7.0901810000000003</v>
      </c>
      <c r="BS89" s="6">
        <v>6.7972000000000001</v>
      </c>
      <c r="BT89" s="6">
        <v>7.5098969999999996</v>
      </c>
    </row>
    <row r="90" spans="1:72">
      <c r="A90" s="7" t="s">
        <v>362</v>
      </c>
      <c r="B90" s="1" t="s">
        <v>97</v>
      </c>
      <c r="C90" s="21">
        <v>0.434049681627868</v>
      </c>
      <c r="D90" s="21">
        <v>5.3958583343179899E-3</v>
      </c>
      <c r="E90" s="10">
        <v>2.6179189413406061E-3</v>
      </c>
      <c r="F90" s="3">
        <v>5.4007315601682135E-2</v>
      </c>
      <c r="G90" s="3">
        <v>6.9179794106167396</v>
      </c>
      <c r="H90" s="1">
        <v>6.6564157087765503</v>
      </c>
      <c r="I90" s="3">
        <f t="shared" si="3"/>
        <v>0.26156370184018929</v>
      </c>
      <c r="J90">
        <v>1</v>
      </c>
      <c r="K90">
        <v>2</v>
      </c>
      <c r="L90" s="1">
        <v>2.2860388803621699E-2</v>
      </c>
      <c r="M90" s="4">
        <v>43.743787937743797</v>
      </c>
      <c r="N90" s="21">
        <v>7.0543602849685998</v>
      </c>
      <c r="O90" s="21" t="s">
        <v>294</v>
      </c>
      <c r="P90" s="21">
        <v>0.434049681627868</v>
      </c>
      <c r="Q90" s="21">
        <v>0</v>
      </c>
      <c r="R90" s="21">
        <v>0</v>
      </c>
      <c r="S90" s="21">
        <v>0</v>
      </c>
      <c r="T90">
        <v>0</v>
      </c>
      <c r="U90" s="21">
        <f t="shared" si="4"/>
        <v>6.9179794106167396</v>
      </c>
      <c r="V90" s="5">
        <v>6.5751790000000003</v>
      </c>
      <c r="W90" s="5">
        <v>7.8697039999999996</v>
      </c>
      <c r="X90" s="5">
        <v>7.3794120000000003</v>
      </c>
      <c r="Y90" s="5">
        <v>6.2959379999999996</v>
      </c>
      <c r="Z90" s="5">
        <v>5.8684209999999997</v>
      </c>
      <c r="AA90" s="5">
        <v>6.2772730000000001</v>
      </c>
      <c r="AB90" s="5">
        <v>6.6672269999999996</v>
      </c>
      <c r="AC90" s="5">
        <v>6.9939470000000004</v>
      </c>
      <c r="AD90" s="5">
        <v>6.6237139999999997</v>
      </c>
      <c r="AE90" s="5">
        <v>7.1745000000000001</v>
      </c>
      <c r="AF90" s="5">
        <v>6.8855259999999996</v>
      </c>
      <c r="AG90" s="5">
        <v>6.9005380000000001</v>
      </c>
      <c r="AH90" s="5">
        <v>7.4116280000000003</v>
      </c>
      <c r="AI90" s="5">
        <v>6.3055680000000001</v>
      </c>
      <c r="AJ90" s="5">
        <v>7.5590539999999997</v>
      </c>
      <c r="AK90" s="5">
        <v>7.4216670000000002</v>
      </c>
      <c r="AL90" s="5">
        <v>6.4098940000000004</v>
      </c>
      <c r="AM90" s="36">
        <v>6.9110789219873998E-3</v>
      </c>
      <c r="AN90" s="36">
        <v>2.7936856378604001E-3</v>
      </c>
      <c r="AO90" s="36">
        <v>3.02596975840096E-3</v>
      </c>
      <c r="AP90" s="36">
        <v>2.9325720309290098E-3</v>
      </c>
      <c r="AQ90" s="36">
        <v>2.8496899048632901E-3</v>
      </c>
      <c r="AR90" s="36">
        <v>2.58600043302268E-3</v>
      </c>
      <c r="AS90" s="36">
        <v>2.31054209437518E-3</v>
      </c>
      <c r="AT90" s="36">
        <v>2.5243321974831299E-3</v>
      </c>
      <c r="AU90" s="36">
        <v>2.2472054979080398E-3</v>
      </c>
      <c r="AV90" s="36">
        <v>2.2137444627045601E-3</v>
      </c>
      <c r="AW90" s="36">
        <v>2.2047428761232499E-3</v>
      </c>
      <c r="AX90" s="36">
        <v>2.4163139697843199E-3</v>
      </c>
      <c r="AY90" s="36">
        <v>2.3141527424210798E-3</v>
      </c>
      <c r="AZ90" s="36">
        <v>2.5183249799946099E-3</v>
      </c>
      <c r="BA90" s="36">
        <v>2.0971753004718399E-3</v>
      </c>
      <c r="BB90" s="36">
        <v>2.5117322605126701E-3</v>
      </c>
      <c r="BC90" s="36">
        <v>2.4861408459477198E-3</v>
      </c>
      <c r="BD90" s="6">
        <v>6.733581</v>
      </c>
      <c r="BE90" s="6">
        <v>6.9137079999999997</v>
      </c>
      <c r="BF90" s="6">
        <v>6.7014009999999997</v>
      </c>
      <c r="BG90" s="6">
        <v>6.8131620000000002</v>
      </c>
      <c r="BH90" s="6">
        <v>6.6618639999999996</v>
      </c>
      <c r="BI90" s="6">
        <v>6.5955550000000001</v>
      </c>
      <c r="BJ90" s="6">
        <v>6.3917250000000001</v>
      </c>
      <c r="BK90" s="6">
        <v>6.4698770000000003</v>
      </c>
      <c r="BL90" s="6">
        <v>6.3728400000000001</v>
      </c>
      <c r="BM90" s="6">
        <v>6.5088920000000003</v>
      </c>
      <c r="BN90" s="6">
        <v>6.4744039999999998</v>
      </c>
      <c r="BO90" s="6">
        <v>6.6210259999999996</v>
      </c>
      <c r="BP90" s="6">
        <v>6.8412119999999996</v>
      </c>
      <c r="BQ90" s="6">
        <v>6.9731719999999999</v>
      </c>
      <c r="BR90" s="6">
        <v>6.929265</v>
      </c>
      <c r="BS90" s="6">
        <v>6.8404689999999997</v>
      </c>
      <c r="BT90" s="6">
        <v>6.8741149999999998</v>
      </c>
    </row>
    <row r="91" spans="1:72">
      <c r="A91" s="7" t="s">
        <v>475</v>
      </c>
      <c r="B91" s="1" t="s">
        <v>98</v>
      </c>
      <c r="C91" s="21">
        <v>0.27745849399863898</v>
      </c>
      <c r="D91" s="21">
        <v>2.7437075925883399E-2</v>
      </c>
      <c r="E91" s="10">
        <v>2.2687790069668189E-3</v>
      </c>
      <c r="F91" s="3">
        <v>1.7918195444351693E-3</v>
      </c>
      <c r="G91" s="3">
        <v>5.4145000000000003</v>
      </c>
      <c r="H91" s="1">
        <v>4.8064733096085499</v>
      </c>
      <c r="I91" s="3">
        <f t="shared" si="3"/>
        <v>0.60802669039145041</v>
      </c>
      <c r="J91">
        <v>2</v>
      </c>
      <c r="K91">
        <v>3</v>
      </c>
      <c r="L91" s="1">
        <v>8.4451852318415802E-2</v>
      </c>
      <c r="M91" s="4">
        <v>11.8410665076903</v>
      </c>
      <c r="N91" s="21">
        <v>6.0129591000768903</v>
      </c>
      <c r="O91" s="21" t="s">
        <v>273</v>
      </c>
      <c r="P91" s="21">
        <v>31.3564297855057</v>
      </c>
      <c r="Q91" s="21">
        <v>8.4399562097998704E-3</v>
      </c>
      <c r="R91" s="21">
        <v>0</v>
      </c>
      <c r="S91" s="21">
        <v>3.6256038424183901E-2</v>
      </c>
      <c r="T91">
        <v>0</v>
      </c>
      <c r="U91" s="21">
        <f t="shared" si="4"/>
        <v>5.4145000000000003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4.375</v>
      </c>
      <c r="AB91" s="5">
        <v>0</v>
      </c>
      <c r="AC91" s="5">
        <v>4.5774999999999997</v>
      </c>
      <c r="AD91" s="5">
        <v>7.57</v>
      </c>
      <c r="AE91" s="5">
        <v>0</v>
      </c>
      <c r="AF91" s="5">
        <v>4.5999999999999996</v>
      </c>
      <c r="AG91" s="5">
        <v>0</v>
      </c>
      <c r="AH91" s="5">
        <v>6.4</v>
      </c>
      <c r="AI91" s="5">
        <v>3.6549999999999998</v>
      </c>
      <c r="AJ91" s="5">
        <v>7.75</v>
      </c>
      <c r="AK91" s="5">
        <v>4.5999999999999996</v>
      </c>
      <c r="AL91" s="5">
        <v>8.65</v>
      </c>
      <c r="AM91" s="36">
        <v>6.1543386946775799E-3</v>
      </c>
      <c r="AN91" s="36">
        <v>2.4877863233697599E-3</v>
      </c>
      <c r="AO91" s="36">
        <v>2.6946361028815798E-3</v>
      </c>
      <c r="AP91" s="36">
        <v>2.6114651168946002E-3</v>
      </c>
      <c r="AQ91" s="36">
        <v>2.5376583088257999E-3</v>
      </c>
      <c r="AR91" s="36">
        <v>2.30284195985246E-3</v>
      </c>
      <c r="AS91" s="36">
        <v>2.0575453959662399E-3</v>
      </c>
      <c r="AT91" s="36">
        <v>2.2479261916348399E-3</v>
      </c>
      <c r="AU91" s="36">
        <v>2.0011439468109299E-3</v>
      </c>
      <c r="AV91" s="36">
        <v>1.9713467840174899E-3</v>
      </c>
      <c r="AW91" s="36">
        <v>1.96333084132081E-3</v>
      </c>
      <c r="AX91" s="36">
        <v>2.1517356017195198E-3</v>
      </c>
      <c r="AY91" s="36">
        <v>2.0607606900227299E-3</v>
      </c>
      <c r="AZ91" s="36">
        <v>2.2425767445435401E-3</v>
      </c>
      <c r="BA91" s="36">
        <v>1.8675415585478999E-3</v>
      </c>
      <c r="BB91" s="36">
        <v>2.2367059059857902E-3</v>
      </c>
      <c r="BC91" s="36">
        <v>2.2139166664637902E-3</v>
      </c>
      <c r="BD91" s="6">
        <v>4.8202629999999997</v>
      </c>
      <c r="BE91" s="6">
        <v>5.2135850000000001</v>
      </c>
      <c r="BF91" s="6">
        <v>4.7091250000000002</v>
      </c>
      <c r="BG91" s="6">
        <v>5.0503330000000002</v>
      </c>
      <c r="BH91" s="6">
        <v>4.7121589999999998</v>
      </c>
      <c r="BI91" s="6">
        <v>5.1539659999999996</v>
      </c>
      <c r="BJ91" s="6">
        <v>4.4732269999999996</v>
      </c>
      <c r="BK91" s="6">
        <v>4.733816</v>
      </c>
      <c r="BL91" s="6">
        <v>4.8363500000000004</v>
      </c>
      <c r="BM91" s="6">
        <v>4.7467540000000001</v>
      </c>
      <c r="BN91" s="6">
        <v>4.9720610000000001</v>
      </c>
      <c r="BO91" s="6">
        <v>4.6427589999999999</v>
      </c>
      <c r="BP91" s="6">
        <v>4.8555679999999999</v>
      </c>
      <c r="BQ91" s="6">
        <v>4.4343180000000002</v>
      </c>
      <c r="BR91" s="6">
        <v>5.0236590000000003</v>
      </c>
      <c r="BS91" s="6">
        <v>4.9144740000000002</v>
      </c>
      <c r="BT91" s="6">
        <v>4.892131</v>
      </c>
    </row>
    <row r="92" spans="1:72">
      <c r="A92" s="7" t="s">
        <v>364</v>
      </c>
      <c r="B92" s="1" t="s">
        <v>99</v>
      </c>
      <c r="C92" s="21">
        <v>0.26347720836025801</v>
      </c>
      <c r="D92" s="21">
        <v>1.14705981211105E-2</v>
      </c>
      <c r="E92" s="10">
        <v>1.5891313911139591E-3</v>
      </c>
      <c r="F92" s="3">
        <v>3.0693567613195447E-2</v>
      </c>
      <c r="G92" s="3">
        <v>7.0301219512195097</v>
      </c>
      <c r="H92" s="1">
        <v>7.0050909403763901</v>
      </c>
      <c r="I92" s="3">
        <f t="shared" si="3"/>
        <v>2.5031010843119539E-2</v>
      </c>
      <c r="J92">
        <v>5</v>
      </c>
      <c r="K92">
        <v>3</v>
      </c>
      <c r="L92" s="1">
        <v>6.8967379789227207E-2</v>
      </c>
      <c r="M92" s="4">
        <v>14.4996084098906</v>
      </c>
      <c r="N92" s="21">
        <v>6.7914529473837204</v>
      </c>
      <c r="O92" s="21" t="s">
        <v>456</v>
      </c>
      <c r="P92" s="21">
        <v>16.491407232949701</v>
      </c>
      <c r="Q92" s="21">
        <v>1.5959500559550199E-2</v>
      </c>
      <c r="R92" s="21">
        <v>0</v>
      </c>
      <c r="S92" s="21">
        <v>2.9194027646810899E-3</v>
      </c>
      <c r="T92">
        <v>0</v>
      </c>
      <c r="U92" s="21">
        <f t="shared" si="4"/>
        <v>7.0301219512195097</v>
      </c>
      <c r="V92" s="5">
        <v>7.93</v>
      </c>
      <c r="W92" s="5">
        <v>7.93</v>
      </c>
      <c r="X92" s="5">
        <v>6.49</v>
      </c>
      <c r="Y92" s="5">
        <v>7</v>
      </c>
      <c r="Z92" s="5">
        <v>5.74</v>
      </c>
      <c r="AA92" s="5">
        <v>6.0640000000000001</v>
      </c>
      <c r="AB92" s="5">
        <v>7.4954549999999998</v>
      </c>
      <c r="AC92" s="5">
        <v>7.6664289999999999</v>
      </c>
      <c r="AD92" s="5">
        <v>7.859286</v>
      </c>
      <c r="AE92" s="5">
        <v>7</v>
      </c>
      <c r="AF92" s="5">
        <v>6.604444</v>
      </c>
      <c r="AG92" s="5">
        <v>6.85</v>
      </c>
      <c r="AH92" s="5">
        <v>6.4489999999999998</v>
      </c>
      <c r="AI92" s="5">
        <v>7.3525</v>
      </c>
      <c r="AJ92" s="5">
        <v>7.0666669999999998</v>
      </c>
      <c r="AK92" s="5">
        <v>7.2295449999999999</v>
      </c>
      <c r="AL92" s="5">
        <v>6.9424999999999999</v>
      </c>
      <c r="AM92" s="36">
        <v>4.1951690283321503E-3</v>
      </c>
      <c r="AN92" s="36">
        <v>1.6958254413159E-3</v>
      </c>
      <c r="AO92" s="36">
        <v>1.8368267465049999E-3</v>
      </c>
      <c r="AP92" s="36">
        <v>1.7801323782262099E-3</v>
      </c>
      <c r="AQ92" s="36">
        <v>1.7298211992918999E-3</v>
      </c>
      <c r="AR92" s="36">
        <v>1.5697561909408101E-3</v>
      </c>
      <c r="AS92" s="36">
        <v>1.4025472350116101E-3</v>
      </c>
      <c r="AT92" s="36">
        <v>1.53232228594743E-3</v>
      </c>
      <c r="AU92" s="36">
        <v>1.36410060014342E-3</v>
      </c>
      <c r="AV92" s="36">
        <v>1.3437890539831001E-3</v>
      </c>
      <c r="AW92" s="36">
        <v>1.3383249032104E-3</v>
      </c>
      <c r="AX92" s="36">
        <v>1.4667529691370399E-3</v>
      </c>
      <c r="AY92" s="36">
        <v>1.4047389736714299E-3</v>
      </c>
      <c r="AZ92" s="36">
        <v>1.5286757796582201E-3</v>
      </c>
      <c r="BA92" s="36">
        <v>1.27302914159062E-3</v>
      </c>
      <c r="BB92" s="36">
        <v>1.52467386144902E-3</v>
      </c>
      <c r="BC92" s="36">
        <v>1.50913933912827E-3</v>
      </c>
      <c r="BD92" s="6">
        <v>7.2128129999999997</v>
      </c>
      <c r="BE92" s="6">
        <v>7.1844440000000001</v>
      </c>
      <c r="BF92" s="6">
        <v>7.1105739999999997</v>
      </c>
      <c r="BG92" s="6">
        <v>7.1532650000000002</v>
      </c>
      <c r="BH92" s="6">
        <v>7.1702389999999996</v>
      </c>
      <c r="BI92" s="6">
        <v>7.0515650000000001</v>
      </c>
      <c r="BJ92" s="6">
        <v>6.8982190000000001</v>
      </c>
      <c r="BK92" s="6">
        <v>6.8894399999999996</v>
      </c>
      <c r="BL92" s="6">
        <v>6.9464969999999999</v>
      </c>
      <c r="BM92" s="6">
        <v>7.0058449999999999</v>
      </c>
      <c r="BN92" s="6">
        <v>6.9938890000000002</v>
      </c>
      <c r="BO92" s="6">
        <v>6.8952790000000004</v>
      </c>
      <c r="BP92" s="6">
        <v>6.9455660000000004</v>
      </c>
      <c r="BQ92" s="6">
        <v>7.1617280000000001</v>
      </c>
      <c r="BR92" s="6">
        <v>6.9667539999999999</v>
      </c>
      <c r="BS92" s="6">
        <v>6.8869680000000004</v>
      </c>
      <c r="BT92" s="6">
        <v>7.0168679999999997</v>
      </c>
    </row>
    <row r="93" spans="1:72">
      <c r="A93" s="7" t="s">
        <v>365</v>
      </c>
      <c r="B93" s="1" t="s">
        <v>100</v>
      </c>
      <c r="C93" s="21">
        <v>0.47776010921453599</v>
      </c>
      <c r="D93" s="21">
        <v>2.8551232911247799E-2</v>
      </c>
      <c r="E93" s="10">
        <v>3.343317310740918E-3</v>
      </c>
      <c r="F93" s="3">
        <v>4.2469048982477324E-3</v>
      </c>
      <c r="G93" s="3">
        <v>8.4293902439024393</v>
      </c>
      <c r="H93" s="1">
        <v>7.8734292565947097</v>
      </c>
      <c r="I93" s="3">
        <f t="shared" si="3"/>
        <v>0.55596098730772958</v>
      </c>
      <c r="J93">
        <v>2</v>
      </c>
      <c r="K93">
        <v>3</v>
      </c>
      <c r="L93" s="1">
        <v>0.10281187432541899</v>
      </c>
      <c r="M93" s="4">
        <v>9.7265029604927893</v>
      </c>
      <c r="N93" s="21">
        <v>6.4846101977118797</v>
      </c>
      <c r="O93" s="21" t="s">
        <v>294</v>
      </c>
      <c r="P93" s="21">
        <v>0.47776010921453599</v>
      </c>
      <c r="Q93" s="21">
        <v>0</v>
      </c>
      <c r="R93" s="21">
        <v>0</v>
      </c>
      <c r="S93" s="21">
        <v>0</v>
      </c>
      <c r="T93">
        <v>0</v>
      </c>
      <c r="U93" s="21">
        <f t="shared" si="4"/>
        <v>8.4293902439024393</v>
      </c>
      <c r="V93" s="5">
        <v>7.6</v>
      </c>
      <c r="W93" s="5">
        <v>9.5500000000000007</v>
      </c>
      <c r="X93" s="5">
        <v>9.1</v>
      </c>
      <c r="Y93" s="5">
        <v>9.5500000000000007</v>
      </c>
      <c r="Z93" s="5">
        <v>9.5500000000000007</v>
      </c>
      <c r="AA93" s="5">
        <v>9.5500000000000007</v>
      </c>
      <c r="AB93" s="5">
        <v>0</v>
      </c>
      <c r="AC93" s="5">
        <v>8.1999999999999993</v>
      </c>
      <c r="AD93" s="5">
        <v>9.25</v>
      </c>
      <c r="AE93" s="5">
        <v>9.5500000000000007</v>
      </c>
      <c r="AF93" s="5">
        <v>8.0649999999999995</v>
      </c>
      <c r="AG93" s="5">
        <v>7.3</v>
      </c>
      <c r="AH93" s="5">
        <v>9.1</v>
      </c>
      <c r="AI93" s="5">
        <v>6.9850000000000003</v>
      </c>
      <c r="AJ93" s="5">
        <v>9.5500000000000007</v>
      </c>
      <c r="AK93" s="5">
        <v>9.5500000000000007</v>
      </c>
      <c r="AL93" s="5">
        <v>4.375</v>
      </c>
      <c r="AM93" s="36">
        <v>8.4103024227574798E-3</v>
      </c>
      <c r="AN93" s="36">
        <v>3.39972113670545E-3</v>
      </c>
      <c r="AO93" s="36">
        <v>3.68239475739513E-3</v>
      </c>
      <c r="AP93" s="36">
        <v>3.5687362183299399E-3</v>
      </c>
      <c r="AQ93" s="36">
        <v>3.4678744348772602E-3</v>
      </c>
      <c r="AR93" s="36">
        <v>3.1469826857147502E-3</v>
      </c>
      <c r="AS93" s="36">
        <v>2.8117690441044102E-3</v>
      </c>
      <c r="AT93" s="36">
        <v>3.0719367317298598E-3</v>
      </c>
      <c r="AU93" s="36">
        <v>2.7346928108954401E-3</v>
      </c>
      <c r="AV93" s="36">
        <v>2.6939730580729801E-3</v>
      </c>
      <c r="AW93" s="36">
        <v>2.6830187532114599E-3</v>
      </c>
      <c r="AX93" s="36">
        <v>2.9404860606592302E-3</v>
      </c>
      <c r="AY93" s="36">
        <v>2.8161629516767301E-3</v>
      </c>
      <c r="AZ93" s="36">
        <v>3.0646263658133301E-3</v>
      </c>
      <c r="BA93" s="36">
        <v>2.5521164943422998E-3</v>
      </c>
      <c r="BB93" s="36">
        <v>3.0566034846890699E-3</v>
      </c>
      <c r="BC93" s="36">
        <v>3.0254605128974001E-3</v>
      </c>
      <c r="BD93" s="6">
        <v>8.75</v>
      </c>
      <c r="BE93" s="6">
        <v>8.4756250000000009</v>
      </c>
      <c r="BF93" s="6">
        <v>8.3518749999999997</v>
      </c>
      <c r="BG93" s="6">
        <v>8.4760000000000009</v>
      </c>
      <c r="BH93" s="6">
        <v>8.1237759999999994</v>
      </c>
      <c r="BI93" s="6">
        <v>7.901154</v>
      </c>
      <c r="BJ93" s="6">
        <v>8.4715050000000005</v>
      </c>
      <c r="BK93" s="6">
        <v>7.9727040000000002</v>
      </c>
      <c r="BL93" s="6">
        <v>7.2599450000000001</v>
      </c>
      <c r="BM93" s="6">
        <v>7.2288040000000002</v>
      </c>
      <c r="BN93" s="6">
        <v>7.7708740000000001</v>
      </c>
      <c r="BO93" s="6">
        <v>8.0492109999999997</v>
      </c>
      <c r="BP93" s="6">
        <v>7.9227590000000001</v>
      </c>
      <c r="BQ93" s="6">
        <v>7.1395970000000002</v>
      </c>
      <c r="BR93" s="6">
        <v>7.6216670000000004</v>
      </c>
      <c r="BS93" s="6">
        <v>7.8018749999999999</v>
      </c>
      <c r="BT93" s="6">
        <v>7.4963639999999998</v>
      </c>
    </row>
    <row r="94" spans="1:72">
      <c r="A94" s="7" t="s">
        <v>366</v>
      </c>
      <c r="B94" s="1" t="s">
        <v>101</v>
      </c>
      <c r="C94" s="21">
        <v>0.43379140298066399</v>
      </c>
      <c r="D94" s="21">
        <v>8.2154508497484392E-3</v>
      </c>
      <c r="E94" s="10">
        <v>2.6163611644517402E-3</v>
      </c>
      <c r="F94" s="3">
        <v>3.1919209326921986E-2</v>
      </c>
      <c r="G94" s="3">
        <v>6.8685551643192602</v>
      </c>
      <c r="H94" s="1">
        <v>6.7412837351174399</v>
      </c>
      <c r="I94" s="3">
        <f t="shared" si="3"/>
        <v>0.12727142920182022</v>
      </c>
      <c r="J94">
        <v>1</v>
      </c>
      <c r="K94">
        <v>2</v>
      </c>
      <c r="L94" s="1">
        <v>3.2105399895143799E-2</v>
      </c>
      <c r="M94" s="4">
        <v>31.147408325889099</v>
      </c>
      <c r="N94" s="21">
        <v>6.2139903396279399</v>
      </c>
      <c r="O94" s="21" t="s">
        <v>294</v>
      </c>
      <c r="P94" s="21">
        <v>0.43379140298066399</v>
      </c>
      <c r="Q94" s="21">
        <v>0</v>
      </c>
      <c r="R94" s="21">
        <v>0</v>
      </c>
      <c r="S94" s="21">
        <v>0</v>
      </c>
      <c r="T94">
        <v>0</v>
      </c>
      <c r="U94" s="21">
        <f t="shared" si="4"/>
        <v>6.8685551643192602</v>
      </c>
      <c r="V94" s="5">
        <v>5.8109999999999999</v>
      </c>
      <c r="W94" s="5">
        <v>6.8210709999999999</v>
      </c>
      <c r="X94" s="5">
        <v>6.8872</v>
      </c>
      <c r="Y94" s="5">
        <v>5.9827269999999997</v>
      </c>
      <c r="Z94" s="5">
        <v>6.0309999999999997</v>
      </c>
      <c r="AA94" s="5">
        <v>6.1334619999999997</v>
      </c>
      <c r="AB94" s="5">
        <v>6.6550000000000002</v>
      </c>
      <c r="AC94" s="5">
        <v>6.9607950000000001</v>
      </c>
      <c r="AD94" s="5">
        <v>7.9167649999999998</v>
      </c>
      <c r="AE94" s="5">
        <v>7.0002209999999998</v>
      </c>
      <c r="AF94" s="5">
        <v>6.41275</v>
      </c>
      <c r="AG94" s="5">
        <v>7.697241</v>
      </c>
      <c r="AH94" s="5">
        <v>7.2212500000000004</v>
      </c>
      <c r="AI94" s="5">
        <v>6.192609</v>
      </c>
      <c r="AJ94" s="5">
        <v>6.6658330000000001</v>
      </c>
      <c r="AK94" s="5">
        <v>7.0267999999999997</v>
      </c>
      <c r="AL94" s="5">
        <v>7.3120000000000003</v>
      </c>
      <c r="AM94" s="36">
        <v>6.9069665261252602E-3</v>
      </c>
      <c r="AN94" s="36">
        <v>2.7920232720580499E-3</v>
      </c>
      <c r="AO94" s="36">
        <v>3.0241691733325598E-3</v>
      </c>
      <c r="AP94" s="36">
        <v>2.9308270216154798E-3</v>
      </c>
      <c r="AQ94" s="36">
        <v>2.84799421405937E-3</v>
      </c>
      <c r="AR94" s="36">
        <v>2.5844616490498301E-3</v>
      </c>
      <c r="AS94" s="36">
        <v>2.3091672202266598E-3</v>
      </c>
      <c r="AT94" s="36">
        <v>2.5228301088221902E-3</v>
      </c>
      <c r="AU94" s="36">
        <v>2.24586831181955E-3</v>
      </c>
      <c r="AV94" s="36">
        <v>2.2124271874034099E-3</v>
      </c>
      <c r="AW94" s="36">
        <v>2.2034309571619401E-3</v>
      </c>
      <c r="AX94" s="36">
        <v>2.4148761567187801E-3</v>
      </c>
      <c r="AY94" s="36">
        <v>2.3127757197782001E-3</v>
      </c>
      <c r="AZ94" s="36">
        <v>2.51682646589223E-3</v>
      </c>
      <c r="BA94" s="36">
        <v>2.0959273889481502E-3</v>
      </c>
      <c r="BB94" s="36">
        <v>2.5102376693682902E-3</v>
      </c>
      <c r="BC94" s="36">
        <v>2.4846614828203401E-3</v>
      </c>
      <c r="BD94" s="6">
        <v>6.699389</v>
      </c>
      <c r="BE94" s="6">
        <v>6.8268170000000001</v>
      </c>
      <c r="BF94" s="6">
        <v>6.91622</v>
      </c>
      <c r="BG94" s="6">
        <v>6.929494</v>
      </c>
      <c r="BH94" s="6">
        <v>6.8393079999999999</v>
      </c>
      <c r="BI94" s="6">
        <v>6.5960979999999996</v>
      </c>
      <c r="BJ94" s="6">
        <v>6.7217570000000002</v>
      </c>
      <c r="BK94" s="6">
        <v>6.786683</v>
      </c>
      <c r="BL94" s="6">
        <v>6.7691499999999998</v>
      </c>
      <c r="BM94" s="6">
        <v>6.7834669999999999</v>
      </c>
      <c r="BN94" s="6">
        <v>6.6141750000000004</v>
      </c>
      <c r="BO94" s="6">
        <v>6.7011529999999997</v>
      </c>
      <c r="BP94" s="6">
        <v>6.6733079999999996</v>
      </c>
      <c r="BQ94" s="6">
        <v>6.8978859999999997</v>
      </c>
      <c r="BR94" s="6">
        <v>6.7840759999999998</v>
      </c>
      <c r="BS94" s="6">
        <v>6.6014629999999999</v>
      </c>
      <c r="BT94" s="6">
        <v>6.665985</v>
      </c>
    </row>
    <row r="95" spans="1:72">
      <c r="A95" s="7" t="s">
        <v>476</v>
      </c>
      <c r="B95" s="1" t="s">
        <v>102</v>
      </c>
      <c r="C95" s="21">
        <v>0.18463049948096499</v>
      </c>
      <c r="D95" s="21">
        <v>5.8165452296621699E-2</v>
      </c>
      <c r="E95" s="10">
        <v>1.113576860435974E-3</v>
      </c>
      <c r="F95" s="3">
        <v>1.8543181154596609E-3</v>
      </c>
      <c r="G95" s="3">
        <v>9.5500000000000007</v>
      </c>
      <c r="H95" s="1">
        <v>8.27679710144929</v>
      </c>
      <c r="I95" s="3">
        <f t="shared" si="3"/>
        <v>1.2732028985507107</v>
      </c>
      <c r="J95">
        <v>6</v>
      </c>
      <c r="K95">
        <v>4</v>
      </c>
      <c r="L95" s="1">
        <v>0.24909319166322599</v>
      </c>
      <c r="M95" s="4">
        <v>4.0145617522617796</v>
      </c>
      <c r="N95" s="21">
        <v>9.5500000000000007</v>
      </c>
      <c r="O95" s="21" t="s">
        <v>273</v>
      </c>
      <c r="P95" s="21">
        <v>11.379706514953</v>
      </c>
      <c r="Q95" s="21">
        <v>1.6421527233653001E-2</v>
      </c>
      <c r="R95" s="21">
        <v>0</v>
      </c>
      <c r="S95" s="21">
        <v>3.4186677343489499E-2</v>
      </c>
      <c r="T95"/>
      <c r="U95" s="21">
        <f t="shared" si="4"/>
        <v>9.5500000000000007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9.5500000000000007</v>
      </c>
      <c r="AE95" s="5">
        <v>0</v>
      </c>
      <c r="AF95" s="5">
        <v>0</v>
      </c>
      <c r="AG95" s="5">
        <v>0</v>
      </c>
      <c r="AH95" s="5">
        <v>0</v>
      </c>
      <c r="AI95" s="5">
        <v>9.5500000000000007</v>
      </c>
      <c r="AJ95" s="5">
        <v>0</v>
      </c>
      <c r="AK95" s="5">
        <v>0</v>
      </c>
      <c r="AL95" s="5">
        <v>0</v>
      </c>
      <c r="AM95" s="36">
        <v>2.93974631782561E-3</v>
      </c>
      <c r="AN95" s="36">
        <v>1.18834224869489E-3</v>
      </c>
      <c r="AO95" s="36">
        <v>1.2871482955880899E-3</v>
      </c>
      <c r="AP95" s="36">
        <v>1.24741996539128E-3</v>
      </c>
      <c r="AQ95" s="36">
        <v>1.2121646271632501E-3</v>
      </c>
      <c r="AR95" s="36">
        <v>1.0999997737962E-3</v>
      </c>
      <c r="AS95" s="36">
        <v>9.8282883046099407E-4</v>
      </c>
      <c r="AT95" s="36">
        <v>1.0737681288677399E-3</v>
      </c>
      <c r="AU95" s="36">
        <v>9.5588751950945996E-4</v>
      </c>
      <c r="AV95" s="36">
        <v>9.4165429252125103E-4</v>
      </c>
      <c r="AW95" s="36">
        <v>9.3782531280539095E-4</v>
      </c>
      <c r="AX95" s="36">
        <v>1.0278207173680101E-3</v>
      </c>
      <c r="AY95" s="36">
        <v>9.8436468172498999E-4</v>
      </c>
      <c r="AZ95" s="36">
        <v>1.07121285556069E-3</v>
      </c>
      <c r="BA95" s="36">
        <v>8.9206959390705602E-4</v>
      </c>
      <c r="BB95" s="36">
        <v>1.0684085289077499E-3</v>
      </c>
      <c r="BC95" s="36">
        <v>1.0575227804472699E-3</v>
      </c>
      <c r="BD95" s="6">
        <v>8.0500000000000007</v>
      </c>
      <c r="BE95" s="6">
        <v>8.2529409999999999</v>
      </c>
      <c r="BF95" s="6">
        <v>8.65</v>
      </c>
      <c r="BG95" s="6">
        <v>7.4928569999999999</v>
      </c>
      <c r="BH95" s="6">
        <v>6.9850000000000003</v>
      </c>
      <c r="BI95" s="6">
        <v>8.5857139999999994</v>
      </c>
      <c r="BJ95" s="6">
        <v>7.4852939999999997</v>
      </c>
      <c r="BK95" s="6">
        <v>7.73</v>
      </c>
      <c r="BL95" s="6">
        <v>8.0941179999999999</v>
      </c>
      <c r="BM95" s="6">
        <v>8.2680000000000007</v>
      </c>
      <c r="BN95" s="6">
        <v>8.7706900000000001</v>
      </c>
      <c r="BO95" s="6">
        <v>8.1571429999999996</v>
      </c>
      <c r="BP95" s="6">
        <v>8.9788460000000008</v>
      </c>
      <c r="BQ95" s="6">
        <v>8.3170000000000002</v>
      </c>
      <c r="BR95" s="6">
        <v>9.4115380000000002</v>
      </c>
      <c r="BS95" s="6">
        <v>7.9107139999999996</v>
      </c>
      <c r="BT95" s="6">
        <v>8.385294</v>
      </c>
    </row>
    <row r="96" spans="1:72">
      <c r="A96" s="7" t="s">
        <v>368</v>
      </c>
      <c r="B96" s="1" t="s">
        <v>103</v>
      </c>
      <c r="C96" s="21">
        <v>0.46830480733353402</v>
      </c>
      <c r="D96" s="21">
        <v>1.57082799469246E-2</v>
      </c>
      <c r="E96" s="10">
        <v>2.8245246508219251E-3</v>
      </c>
      <c r="F96" s="3">
        <v>1.757187025660023E-2</v>
      </c>
      <c r="G96" s="3">
        <v>8.6785281385281206</v>
      </c>
      <c r="H96" s="1">
        <v>8.6033745733796696</v>
      </c>
      <c r="I96" s="3">
        <f t="shared" si="3"/>
        <v>7.5153565148450951E-2</v>
      </c>
      <c r="J96">
        <v>1</v>
      </c>
      <c r="K96">
        <v>2</v>
      </c>
      <c r="L96" s="1">
        <v>8.2959339534751195E-2</v>
      </c>
      <c r="M96" s="4">
        <v>12.0540978943197</v>
      </c>
      <c r="N96" s="21">
        <v>7.0353069368879</v>
      </c>
      <c r="O96" s="21" t="s">
        <v>294</v>
      </c>
      <c r="P96" s="21">
        <v>0.46830480733353402</v>
      </c>
      <c r="Q96" s="21">
        <v>0</v>
      </c>
      <c r="R96" s="21">
        <v>0</v>
      </c>
      <c r="S96" s="21">
        <v>0</v>
      </c>
      <c r="T96">
        <v>0</v>
      </c>
      <c r="U96" s="21">
        <f t="shared" si="4"/>
        <v>8.6785281385281206</v>
      </c>
      <c r="V96" s="5">
        <v>9.5500000000000007</v>
      </c>
      <c r="W96" s="5">
        <v>8.65</v>
      </c>
      <c r="X96" s="5">
        <v>8.1549999999999994</v>
      </c>
      <c r="Y96" s="5">
        <v>9.5500000000000007</v>
      </c>
      <c r="Z96" s="5">
        <v>8.4250000000000007</v>
      </c>
      <c r="AA96" s="5">
        <v>7.0750000000000002</v>
      </c>
      <c r="AB96" s="5">
        <v>9.0930769999999992</v>
      </c>
      <c r="AC96" s="5">
        <v>8.8187499999999996</v>
      </c>
      <c r="AD96" s="5">
        <v>9.2928569999999997</v>
      </c>
      <c r="AE96" s="5">
        <v>8.4073910000000005</v>
      </c>
      <c r="AF96" s="5">
        <v>7.9675000000000002</v>
      </c>
      <c r="AG96" s="5">
        <v>8.5867190000000004</v>
      </c>
      <c r="AH96" s="5">
        <v>8.3842110000000005</v>
      </c>
      <c r="AI96" s="5">
        <v>9.0437499999999993</v>
      </c>
      <c r="AJ96" s="5">
        <v>8.4</v>
      </c>
      <c r="AK96" s="5">
        <v>9.2750000000000004</v>
      </c>
      <c r="AL96" s="5">
        <v>9.0571429999999999</v>
      </c>
      <c r="AM96" s="36">
        <v>7.4565000736550703E-3</v>
      </c>
      <c r="AN96" s="36">
        <v>3.0141628245919099E-3</v>
      </c>
      <c r="AO96" s="36">
        <v>3.2647787676987399E-3</v>
      </c>
      <c r="AP96" s="36">
        <v>3.1640101077492601E-3</v>
      </c>
      <c r="AQ96" s="36">
        <v>3.0745869386478901E-3</v>
      </c>
      <c r="AR96" s="36">
        <v>2.7900871393551799E-3</v>
      </c>
      <c r="AS96" s="36">
        <v>2.4928896763252799E-3</v>
      </c>
      <c r="AT96" s="36">
        <v>2.7235520573465101E-3</v>
      </c>
      <c r="AU96" s="36">
        <v>2.4245545666335502E-3</v>
      </c>
      <c r="AV96" s="36">
        <v>2.3884527923265699E-3</v>
      </c>
      <c r="AW96" s="36">
        <v>2.3787408020911399E-3</v>
      </c>
      <c r="AX96" s="36">
        <v>2.6070090498242198E-3</v>
      </c>
      <c r="AY96" s="36">
        <v>2.4967852760896798E-3</v>
      </c>
      <c r="AZ96" s="36">
        <v>2.7170707512941101E-3</v>
      </c>
      <c r="BA96" s="36">
        <v>2.2626840119977999E-3</v>
      </c>
      <c r="BB96" s="36">
        <v>2.70995773553238E-3</v>
      </c>
      <c r="BC96" s="36">
        <v>2.6823466509618699E-3</v>
      </c>
      <c r="BD96" s="6">
        <v>8.9263429999999993</v>
      </c>
      <c r="BE96" s="6">
        <v>8.8151460000000004</v>
      </c>
      <c r="BF96" s="6">
        <v>8.6202240000000003</v>
      </c>
      <c r="BG96" s="6">
        <v>8.9014000000000006</v>
      </c>
      <c r="BH96" s="6">
        <v>8.7902199999999997</v>
      </c>
      <c r="BI96" s="6">
        <v>8.5189470000000007</v>
      </c>
      <c r="BJ96" s="6">
        <v>8.6901969999999995</v>
      </c>
      <c r="BK96" s="6">
        <v>8.4544049999999995</v>
      </c>
      <c r="BL96" s="6">
        <v>8.6367740000000008</v>
      </c>
      <c r="BM96" s="6">
        <v>8.3951239999999991</v>
      </c>
      <c r="BN96" s="6">
        <v>8.4385309999999993</v>
      </c>
      <c r="BO96" s="6">
        <v>8.4947440000000007</v>
      </c>
      <c r="BP96" s="6">
        <v>8.5840180000000004</v>
      </c>
      <c r="BQ96" s="6">
        <v>8.6432520000000004</v>
      </c>
      <c r="BR96" s="6">
        <v>8.5981989999999993</v>
      </c>
      <c r="BS96" s="6">
        <v>8.7347479999999997</v>
      </c>
      <c r="BT96" s="6">
        <v>8.6664879999999993</v>
      </c>
    </row>
    <row r="97" spans="1:72">
      <c r="A97" s="7" t="s">
        <v>369</v>
      </c>
      <c r="B97" s="1" t="s">
        <v>104</v>
      </c>
      <c r="C97" s="21">
        <v>0.44676598693384201</v>
      </c>
      <c r="D97" s="21">
        <v>1.6534912701741199E-2</v>
      </c>
      <c r="E97" s="10">
        <v>2.6946158217519148E-3</v>
      </c>
      <c r="F97" s="3">
        <v>1.1792729687443883E-2</v>
      </c>
      <c r="G97" s="3">
        <v>8.2490476190476105</v>
      </c>
      <c r="H97" s="1">
        <v>7.9875279069765401</v>
      </c>
      <c r="I97" s="3">
        <f t="shared" si="3"/>
        <v>0.26151971207107039</v>
      </c>
      <c r="J97">
        <v>1</v>
      </c>
      <c r="K97">
        <v>2</v>
      </c>
      <c r="L97" s="1">
        <v>8.7112463397105599E-2</v>
      </c>
      <c r="M97" s="4">
        <v>11.479413633861601</v>
      </c>
      <c r="N97" s="21">
        <v>7.2413318625194103</v>
      </c>
      <c r="O97" s="21" t="s">
        <v>294</v>
      </c>
      <c r="P97" s="21">
        <v>0.44676598693384201</v>
      </c>
      <c r="Q97" s="21">
        <v>0</v>
      </c>
      <c r="R97" s="21">
        <v>0</v>
      </c>
      <c r="S97" s="21">
        <v>0</v>
      </c>
      <c r="T97">
        <v>0</v>
      </c>
      <c r="U97" s="21">
        <f t="shared" si="4"/>
        <v>8.2490476190476105</v>
      </c>
      <c r="V97" s="5">
        <v>9.5500000000000007</v>
      </c>
      <c r="W97" s="5">
        <v>7.5250000000000004</v>
      </c>
      <c r="X97" s="5">
        <v>8.875</v>
      </c>
      <c r="Y97" s="5">
        <v>9.5500000000000007</v>
      </c>
      <c r="Z97" s="5">
        <v>7.5250000000000004</v>
      </c>
      <c r="AA97" s="5">
        <v>9.5500000000000007</v>
      </c>
      <c r="AB97" s="5">
        <v>8.875</v>
      </c>
      <c r="AC97" s="5">
        <v>8.35</v>
      </c>
      <c r="AD97" s="5">
        <v>7.4574999999999996</v>
      </c>
      <c r="AE97" s="5">
        <v>8.85</v>
      </c>
      <c r="AF97" s="5">
        <v>9.5500000000000007</v>
      </c>
      <c r="AG97" s="5">
        <v>8.7078570000000006</v>
      </c>
      <c r="AH97" s="5">
        <v>8.1549999999999994</v>
      </c>
      <c r="AI97" s="5">
        <v>7.1714289999999998</v>
      </c>
      <c r="AJ97" s="5">
        <v>5.1624999999999996</v>
      </c>
      <c r="AK97" s="5">
        <v>8.1357140000000001</v>
      </c>
      <c r="AL97" s="5">
        <v>7.4759089999999997</v>
      </c>
      <c r="AM97" s="36">
        <v>7.11355203344339E-3</v>
      </c>
      <c r="AN97" s="36">
        <v>2.8755319356544898E-3</v>
      </c>
      <c r="AO97" s="36">
        <v>3.1146212582711099E-3</v>
      </c>
      <c r="AP97" s="36">
        <v>3.0184872679525601E-3</v>
      </c>
      <c r="AQ97" s="36">
        <v>2.9331769534465001E-3</v>
      </c>
      <c r="AR97" s="36">
        <v>2.66176220044149E-3</v>
      </c>
      <c r="AS97" s="36">
        <v>2.3782337894460901E-3</v>
      </c>
      <c r="AT97" s="36">
        <v>2.59828727745579E-3</v>
      </c>
      <c r="AU97" s="36">
        <v>2.3130416277480398E-3</v>
      </c>
      <c r="AV97" s="36">
        <v>2.27860028831324E-3</v>
      </c>
      <c r="AW97" s="36">
        <v>2.2693349832498102E-3</v>
      </c>
      <c r="AX97" s="36">
        <v>2.4871044517393599E-3</v>
      </c>
      <c r="AY97" s="36">
        <v>2.3819502182467001E-3</v>
      </c>
      <c r="AZ97" s="36">
        <v>2.5921040671838202E-3</v>
      </c>
      <c r="BA97" s="36">
        <v>2.1586160122837499E-3</v>
      </c>
      <c r="BB97" s="36">
        <v>2.5853182015315801E-3</v>
      </c>
      <c r="BC97" s="36">
        <v>2.5589770381369498E-3</v>
      </c>
      <c r="BD97" s="6">
        <v>7.9462710000000003</v>
      </c>
      <c r="BE97" s="6">
        <v>8.07</v>
      </c>
      <c r="BF97" s="6">
        <v>8.3265379999999993</v>
      </c>
      <c r="BG97" s="6">
        <v>7.9289389999999997</v>
      </c>
      <c r="BH97" s="6">
        <v>8.2646180000000005</v>
      </c>
      <c r="BI97" s="6">
        <v>7.99838</v>
      </c>
      <c r="BJ97" s="6">
        <v>8.1534639999999996</v>
      </c>
      <c r="BK97" s="6">
        <v>7.8660379999999996</v>
      </c>
      <c r="BL97" s="6">
        <v>7.8492559999999996</v>
      </c>
      <c r="BM97" s="6">
        <v>7.8390880000000003</v>
      </c>
      <c r="BN97" s="6">
        <v>7.7233470000000004</v>
      </c>
      <c r="BO97" s="6">
        <v>7.9857339999999999</v>
      </c>
      <c r="BP97" s="6">
        <v>7.7581160000000002</v>
      </c>
      <c r="BQ97" s="6">
        <v>7.9715040000000004</v>
      </c>
      <c r="BR97" s="6">
        <v>7.9994290000000001</v>
      </c>
      <c r="BS97" s="6">
        <v>8.2783329999999999</v>
      </c>
      <c r="BT97" s="6">
        <v>7.947139</v>
      </c>
    </row>
    <row r="98" spans="1:72">
      <c r="A98" s="7" t="s">
        <v>370</v>
      </c>
      <c r="B98" s="1" t="s">
        <v>105</v>
      </c>
      <c r="C98" s="21">
        <v>0.30047564958644402</v>
      </c>
      <c r="D98" s="21">
        <v>1.6647891465518899E-2</v>
      </c>
      <c r="E98" s="10">
        <v>1.8122830813141399E-3</v>
      </c>
      <c r="F98" s="3">
        <v>3.3185793114494933E-2</v>
      </c>
      <c r="G98" s="3">
        <v>8.6195924657535095</v>
      </c>
      <c r="H98" s="1">
        <v>8.6851042568000505</v>
      </c>
      <c r="I98" s="3">
        <f t="shared" si="3"/>
        <v>-6.5511791046541035E-2</v>
      </c>
      <c r="J98">
        <v>8</v>
      </c>
      <c r="K98">
        <v>2</v>
      </c>
      <c r="L98" s="1">
        <v>6.5307262714952699E-2</v>
      </c>
      <c r="M98" s="4">
        <v>15.3122326434766</v>
      </c>
      <c r="N98" s="21">
        <v>7.3839696152008898</v>
      </c>
      <c r="O98" s="21" t="s">
        <v>294</v>
      </c>
      <c r="P98" s="21">
        <v>0.30047564958644402</v>
      </c>
      <c r="Q98" s="21">
        <v>0</v>
      </c>
      <c r="R98" s="21">
        <v>0</v>
      </c>
      <c r="S98" s="21">
        <v>0</v>
      </c>
      <c r="T98">
        <v>0</v>
      </c>
      <c r="U98" s="21">
        <f t="shared" ref="U98:U119" si="5">G98+T98</f>
        <v>8.6195924657535095</v>
      </c>
      <c r="V98" s="5">
        <v>8.6106250000000006</v>
      </c>
      <c r="W98" s="5">
        <v>8.1286210000000008</v>
      </c>
      <c r="X98" s="5">
        <v>8.7505559999999996</v>
      </c>
      <c r="Y98" s="5">
        <v>9.1348389999999995</v>
      </c>
      <c r="Z98" s="5">
        <v>8.6339290000000002</v>
      </c>
      <c r="AA98" s="5">
        <v>8.037763</v>
      </c>
      <c r="AB98" s="5">
        <v>7.9119999999999999</v>
      </c>
      <c r="AC98" s="5">
        <v>8.5939999999999994</v>
      </c>
      <c r="AD98" s="5">
        <v>8.6808160000000001</v>
      </c>
      <c r="AE98" s="5">
        <v>8.7209090000000007</v>
      </c>
      <c r="AF98" s="5">
        <v>8.8687000000000005</v>
      </c>
      <c r="AG98" s="5">
        <v>8.7468920000000008</v>
      </c>
      <c r="AH98" s="5">
        <v>9.015625</v>
      </c>
      <c r="AI98" s="5">
        <v>9.1257140000000003</v>
      </c>
      <c r="AJ98" s="5">
        <v>9.1710530000000006</v>
      </c>
      <c r="AK98" s="5">
        <v>8.5883330000000004</v>
      </c>
      <c r="AL98" s="5">
        <v>8.8428570000000004</v>
      </c>
      <c r="AM98" s="36">
        <v>4.7842701338685102E-3</v>
      </c>
      <c r="AN98" s="36">
        <v>1.9339595035024299E-3</v>
      </c>
      <c r="AO98" s="36">
        <v>2.0947607319384901E-3</v>
      </c>
      <c r="AP98" s="36">
        <v>2.0301051313934598E-3</v>
      </c>
      <c r="AQ98" s="36">
        <v>1.9727290711800201E-3</v>
      </c>
      <c r="AR98" s="36">
        <v>1.79018714408251E-3</v>
      </c>
      <c r="AS98" s="36">
        <v>1.5994980899431399E-3</v>
      </c>
      <c r="AT98" s="36">
        <v>1.7474966321044799E-3</v>
      </c>
      <c r="AU98" s="36">
        <v>1.5556526368266199E-3</v>
      </c>
      <c r="AV98" s="36">
        <v>1.53248886845132E-3</v>
      </c>
      <c r="AW98" s="36">
        <v>1.5262574214769001E-3</v>
      </c>
      <c r="AX98" s="36">
        <v>1.67271983002677E-3</v>
      </c>
      <c r="AY98" s="36">
        <v>1.60199760062807E-3</v>
      </c>
      <c r="AZ98" s="36">
        <v>1.7433380699548599E-3</v>
      </c>
      <c r="BA98" s="36">
        <v>1.45179258821846E-3</v>
      </c>
      <c r="BB98" s="36">
        <v>1.7387741876327999E-3</v>
      </c>
      <c r="BC98" s="36">
        <v>1.72105825040091E-3</v>
      </c>
      <c r="BD98" s="6">
        <v>8.5505809999999993</v>
      </c>
      <c r="BE98" s="6">
        <v>8.5821360000000002</v>
      </c>
      <c r="BF98" s="6">
        <v>8.5881519999999991</v>
      </c>
      <c r="BG98" s="6">
        <v>8.7686759999999992</v>
      </c>
      <c r="BH98" s="6">
        <v>8.5746289999999998</v>
      </c>
      <c r="BI98" s="6">
        <v>8.3793889999999998</v>
      </c>
      <c r="BJ98" s="6">
        <v>8.4778000000000002</v>
      </c>
      <c r="BK98" s="6">
        <v>8.7401219999999995</v>
      </c>
      <c r="BL98" s="6">
        <v>8.4523869999999999</v>
      </c>
      <c r="BM98" s="6">
        <v>8.6185749999999999</v>
      </c>
      <c r="BN98" s="6">
        <v>8.8114369999999997</v>
      </c>
      <c r="BO98" s="6">
        <v>8.6870980000000007</v>
      </c>
      <c r="BP98" s="6">
        <v>8.8802620000000001</v>
      </c>
      <c r="BQ98" s="6">
        <v>8.8278239999999997</v>
      </c>
      <c r="BR98" s="6">
        <v>8.8941280000000003</v>
      </c>
      <c r="BS98" s="6">
        <v>8.8379890000000003</v>
      </c>
      <c r="BT98" s="6">
        <v>8.7715789999999991</v>
      </c>
    </row>
    <row r="99" spans="1:72">
      <c r="A99" s="7" t="s">
        <v>371</v>
      </c>
      <c r="B99" s="1" t="s">
        <v>106</v>
      </c>
      <c r="C99" s="21">
        <v>0.34467994900580401</v>
      </c>
      <c r="D99" s="21">
        <v>2.3592476748335901E-2</v>
      </c>
      <c r="E99" s="10">
        <v>2.581526973062259E-3</v>
      </c>
      <c r="F99" s="3">
        <v>3.9739544048180298E-3</v>
      </c>
      <c r="G99" s="3">
        <v>7.66734693877551</v>
      </c>
      <c r="H99" s="1">
        <v>7.5641869599371603</v>
      </c>
      <c r="I99" s="3">
        <f t="shared" si="3"/>
        <v>0.10315997883834971</v>
      </c>
      <c r="J99">
        <v>2</v>
      </c>
      <c r="K99">
        <v>3</v>
      </c>
      <c r="L99" s="1">
        <v>6.3247767669089905E-2</v>
      </c>
      <c r="M99" s="4">
        <v>15.8108347037948</v>
      </c>
      <c r="N99" s="21">
        <v>6.7753201656873996</v>
      </c>
      <c r="O99" s="21" t="s">
        <v>294</v>
      </c>
      <c r="P99" s="21">
        <v>0.34467994900580401</v>
      </c>
      <c r="Q99" s="21">
        <v>0</v>
      </c>
      <c r="R99" s="21">
        <v>0</v>
      </c>
      <c r="S99" s="21">
        <v>0</v>
      </c>
      <c r="T99">
        <v>0</v>
      </c>
      <c r="U99" s="21">
        <f t="shared" si="5"/>
        <v>7.66734693877551</v>
      </c>
      <c r="V99" s="5">
        <v>6.4</v>
      </c>
      <c r="W99" s="5">
        <v>0</v>
      </c>
      <c r="X99" s="5">
        <v>7.75</v>
      </c>
      <c r="Y99" s="5">
        <v>8.35</v>
      </c>
      <c r="Z99" s="5">
        <v>6.1749999999999998</v>
      </c>
      <c r="AA99" s="5">
        <v>9.5500000000000007</v>
      </c>
      <c r="AB99" s="5">
        <v>7</v>
      </c>
      <c r="AC99" s="5">
        <v>8.1999999999999993</v>
      </c>
      <c r="AD99" s="5">
        <v>5.83</v>
      </c>
      <c r="AE99" s="5">
        <v>8.5374999999999996</v>
      </c>
      <c r="AF99" s="5">
        <v>6.97</v>
      </c>
      <c r="AG99" s="5">
        <v>7.5571429999999999</v>
      </c>
      <c r="AH99" s="5">
        <v>5.95</v>
      </c>
      <c r="AI99" s="5">
        <v>8.5374999999999996</v>
      </c>
      <c r="AJ99" s="5">
        <v>9.5500000000000007</v>
      </c>
      <c r="AK99" s="5">
        <v>5.5</v>
      </c>
      <c r="AL99" s="5">
        <v>8.1999999999999993</v>
      </c>
      <c r="AM99" s="36">
        <v>6.7715748640919896E-3</v>
      </c>
      <c r="AN99" s="36">
        <v>2.7372935046833702E-3</v>
      </c>
      <c r="AO99" s="36">
        <v>2.96488883816682E-3</v>
      </c>
      <c r="AP99" s="36">
        <v>2.8733763969327601E-3</v>
      </c>
      <c r="AQ99" s="36">
        <v>2.7921672937110298E-3</v>
      </c>
      <c r="AR99" s="36">
        <v>2.5338005438015898E-3</v>
      </c>
      <c r="AS99" s="36">
        <v>2.2639024883538898E-3</v>
      </c>
      <c r="AT99" s="36">
        <v>2.47337711666289E-3</v>
      </c>
      <c r="AU99" s="36">
        <v>2.20184437710161E-3</v>
      </c>
      <c r="AV99" s="36">
        <v>2.1690587719206999E-3</v>
      </c>
      <c r="AW99" s="36">
        <v>2.1602388874831201E-3</v>
      </c>
      <c r="AX99" s="36">
        <v>2.3675392983127101E-3</v>
      </c>
      <c r="AY99" s="36">
        <v>2.2674402534158598E-3</v>
      </c>
      <c r="AZ99" s="36">
        <v>2.4674911582752601E-3</v>
      </c>
      <c r="BA99" s="36">
        <v>2.0548426245125101E-3</v>
      </c>
      <c r="BB99" s="36">
        <v>2.4610315165849001E-3</v>
      </c>
      <c r="BC99" s="36">
        <v>2.4359566792750099E-3</v>
      </c>
      <c r="BD99" s="6">
        <v>7.39</v>
      </c>
      <c r="BE99" s="6">
        <v>8.0090909999999997</v>
      </c>
      <c r="BF99" s="6">
        <v>7.823868</v>
      </c>
      <c r="BG99" s="6">
        <v>7.9932429999999997</v>
      </c>
      <c r="BH99" s="6">
        <v>7.8443589999999999</v>
      </c>
      <c r="BI99" s="6">
        <v>7.7601610000000001</v>
      </c>
      <c r="BJ99" s="6">
        <v>7.4877479999999998</v>
      </c>
      <c r="BK99" s="6">
        <v>7.6892500000000004</v>
      </c>
      <c r="BL99" s="6">
        <v>7.4681179999999996</v>
      </c>
      <c r="BM99" s="6">
        <v>7.3603699999999996</v>
      </c>
      <c r="BN99" s="6">
        <v>7.4721310000000001</v>
      </c>
      <c r="BO99" s="6">
        <v>7.6688980000000004</v>
      </c>
      <c r="BP99" s="6">
        <v>7.3293660000000003</v>
      </c>
      <c r="BQ99" s="6">
        <v>7.6063460000000003</v>
      </c>
      <c r="BR99" s="6">
        <v>7.7806119999999996</v>
      </c>
      <c r="BS99" s="6">
        <v>7.2854409999999996</v>
      </c>
      <c r="BT99" s="6">
        <v>6.7920749999999996</v>
      </c>
    </row>
    <row r="100" spans="1:72">
      <c r="A100" s="7" t="s">
        <v>372</v>
      </c>
      <c r="B100" s="1" t="s">
        <v>107</v>
      </c>
      <c r="C100" s="21">
        <v>0.42765028813043299</v>
      </c>
      <c r="D100" s="21">
        <v>4.6708867127981703E-2</v>
      </c>
      <c r="E100" s="10">
        <v>2.5793217618951649E-3</v>
      </c>
      <c r="F100" s="3">
        <v>1.1032190049538521E-3</v>
      </c>
      <c r="G100" s="3">
        <v>4.6572727272727299</v>
      </c>
      <c r="H100" s="1">
        <v>6.1167356687897998</v>
      </c>
      <c r="I100" s="3">
        <f t="shared" si="3"/>
        <v>-1.4594629415170699</v>
      </c>
      <c r="J100">
        <v>3</v>
      </c>
      <c r="K100">
        <v>2</v>
      </c>
      <c r="L100" s="1">
        <v>0.16446692671018001</v>
      </c>
      <c r="M100" s="4">
        <v>6.08024981072443</v>
      </c>
      <c r="N100" s="21">
        <v>5.5</v>
      </c>
      <c r="O100" s="21" t="s">
        <v>294</v>
      </c>
      <c r="P100" s="21">
        <v>0.42765028813043299</v>
      </c>
      <c r="Q100" s="21">
        <v>0</v>
      </c>
      <c r="R100" s="21">
        <v>0</v>
      </c>
      <c r="S100" s="21">
        <v>0</v>
      </c>
      <c r="T100">
        <v>5.3427272727272701</v>
      </c>
      <c r="U100" s="21">
        <f t="shared" si="5"/>
        <v>10</v>
      </c>
      <c r="V100" s="5">
        <v>0</v>
      </c>
      <c r="W100" s="5">
        <v>0</v>
      </c>
      <c r="X100" s="5">
        <v>3.1</v>
      </c>
      <c r="Y100" s="5">
        <v>0</v>
      </c>
      <c r="Z100" s="5">
        <v>0</v>
      </c>
      <c r="AA100" s="5">
        <v>4.42</v>
      </c>
      <c r="AB100" s="5">
        <v>0</v>
      </c>
      <c r="AC100" s="5">
        <v>9.5500000000000007</v>
      </c>
      <c r="AD100" s="5">
        <v>0</v>
      </c>
      <c r="AE100" s="5">
        <v>3.7</v>
      </c>
      <c r="AF100" s="5">
        <v>3.7</v>
      </c>
      <c r="AG100" s="5">
        <v>3.7</v>
      </c>
      <c r="AH100" s="5">
        <v>0</v>
      </c>
      <c r="AI100" s="5">
        <v>0</v>
      </c>
      <c r="AJ100" s="5">
        <v>0</v>
      </c>
      <c r="AK100" s="5">
        <v>3.61</v>
      </c>
      <c r="AL100" s="5">
        <v>0</v>
      </c>
      <c r="AM100" s="36">
        <v>6.80918571624248E-3</v>
      </c>
      <c r="AN100" s="36">
        <v>2.7524970494072201E-3</v>
      </c>
      <c r="AO100" s="36">
        <v>2.9813564986406402E-3</v>
      </c>
      <c r="AP100" s="36">
        <v>2.8893357766940002E-3</v>
      </c>
      <c r="AQ100" s="36">
        <v>2.8076756198199401E-3</v>
      </c>
      <c r="AR100" s="36">
        <v>2.54787384278217E-3</v>
      </c>
      <c r="AS100" s="36">
        <v>2.2764767127376601E-3</v>
      </c>
      <c r="AT100" s="36">
        <v>2.4871148103182499E-3</v>
      </c>
      <c r="AU100" s="36">
        <v>2.21407391675637E-3</v>
      </c>
      <c r="AV100" s="36">
        <v>2.18110621293904E-3</v>
      </c>
      <c r="AW100" s="36">
        <v>2.1722373408765401E-3</v>
      </c>
      <c r="AX100" s="36">
        <v>2.3806891448840801E-3</v>
      </c>
      <c r="AY100" s="36">
        <v>2.2800341273437E-3</v>
      </c>
      <c r="AZ100" s="36">
        <v>2.4811961599918802E-3</v>
      </c>
      <c r="BA100" s="36">
        <v>2.0662556833199799E-3</v>
      </c>
      <c r="BB100" s="36">
        <v>2.4747006399964701E-3</v>
      </c>
      <c r="BC100" s="36">
        <v>2.4494865313918401E-3</v>
      </c>
      <c r="BD100" s="6">
        <v>6.99</v>
      </c>
      <c r="BE100" s="6">
        <v>5.6012500000000003</v>
      </c>
      <c r="BF100" s="6">
        <v>5.4504999999999999</v>
      </c>
      <c r="BG100" s="6">
        <v>7.9</v>
      </c>
      <c r="BH100" s="6">
        <v>6.625</v>
      </c>
      <c r="BI100" s="6">
        <v>4.7231579999999997</v>
      </c>
      <c r="BJ100" s="6">
        <v>5.0976470000000003</v>
      </c>
      <c r="BK100" s="6">
        <v>5.8867570000000002</v>
      </c>
      <c r="BL100" s="6">
        <v>6.6687500000000002</v>
      </c>
      <c r="BM100" s="6">
        <v>5.9585939999999997</v>
      </c>
      <c r="BN100" s="6">
        <v>6.3384210000000003</v>
      </c>
      <c r="BO100" s="6">
        <v>6.25</v>
      </c>
      <c r="BP100" s="6">
        <v>7.2504999999999997</v>
      </c>
      <c r="BQ100" s="6">
        <v>7.1130769999999997</v>
      </c>
      <c r="BR100" s="6">
        <v>6.4225000000000003</v>
      </c>
      <c r="BS100" s="6">
        <v>7.0092309999999998</v>
      </c>
      <c r="BT100" s="6">
        <v>6.1524999999999999</v>
      </c>
    </row>
    <row r="101" spans="1:72">
      <c r="A101" s="7" t="s">
        <v>373</v>
      </c>
      <c r="B101" s="1" t="s">
        <v>108</v>
      </c>
      <c r="C101" s="21">
        <v>0.37313767207230902</v>
      </c>
      <c r="D101" s="21">
        <v>1.0073322317163499E-2</v>
      </c>
      <c r="E101" s="10">
        <v>2.2505354128639441E-3</v>
      </c>
      <c r="F101" s="3">
        <v>3.662025147910665E-2</v>
      </c>
      <c r="G101" s="3">
        <v>8.7893598615917607</v>
      </c>
      <c r="H101" s="1">
        <v>8.1897786175561897</v>
      </c>
      <c r="I101" s="3">
        <f t="shared" si="3"/>
        <v>0.599581244035571</v>
      </c>
      <c r="J101">
        <v>1</v>
      </c>
      <c r="K101">
        <v>2</v>
      </c>
      <c r="L101" s="1">
        <v>4.3853866456080103E-2</v>
      </c>
      <c r="M101" s="4">
        <v>22.803006457857201</v>
      </c>
      <c r="N101" s="21">
        <v>6.7601764234971196</v>
      </c>
      <c r="O101" s="21" t="s">
        <v>294</v>
      </c>
      <c r="P101" s="21">
        <v>0.37313767207230902</v>
      </c>
      <c r="Q101" s="21">
        <v>0</v>
      </c>
      <c r="R101" s="21">
        <v>0</v>
      </c>
      <c r="S101" s="21">
        <v>0</v>
      </c>
      <c r="T101">
        <v>0</v>
      </c>
      <c r="U101" s="21">
        <f t="shared" si="5"/>
        <v>8.7893598615917607</v>
      </c>
      <c r="V101" s="5">
        <v>9.1642860000000006</v>
      </c>
      <c r="W101" s="5">
        <v>9.35</v>
      </c>
      <c r="X101" s="5">
        <v>9.3903230000000004</v>
      </c>
      <c r="Y101" s="5">
        <v>9.3357139999999994</v>
      </c>
      <c r="Z101" s="5">
        <v>9.1704349999999994</v>
      </c>
      <c r="AA101" s="5">
        <v>8.7718749999999996</v>
      </c>
      <c r="AB101" s="5">
        <v>8.9469999999999992</v>
      </c>
      <c r="AC101" s="5">
        <v>8.4160579999999996</v>
      </c>
      <c r="AD101" s="5">
        <v>8.9237880000000001</v>
      </c>
      <c r="AE101" s="5">
        <v>9.0576469999999993</v>
      </c>
      <c r="AF101" s="5">
        <v>9.0601920000000007</v>
      </c>
      <c r="AG101" s="5">
        <v>9.0164190000000008</v>
      </c>
      <c r="AH101" s="5">
        <v>9.2100000000000009</v>
      </c>
      <c r="AI101" s="5">
        <v>8.5773080000000004</v>
      </c>
      <c r="AJ101" s="5">
        <v>7.3814289999999998</v>
      </c>
      <c r="AK101" s="5">
        <v>7.888649</v>
      </c>
      <c r="AL101" s="5">
        <v>7.8815379999999999</v>
      </c>
      <c r="AM101" s="36">
        <v>5.9412182743387E-3</v>
      </c>
      <c r="AN101" s="36">
        <v>2.40163603277746E-3</v>
      </c>
      <c r="AO101" s="36">
        <v>2.6013227499127102E-3</v>
      </c>
      <c r="AP101" s="36">
        <v>2.5210319166720902E-3</v>
      </c>
      <c r="AQ101" s="36">
        <v>2.4497809864546501E-3</v>
      </c>
      <c r="AR101" s="36">
        <v>2.2230961624880299E-3</v>
      </c>
      <c r="AS101" s="36">
        <v>1.9862940460797099E-3</v>
      </c>
      <c r="AT101" s="36">
        <v>2.17008208869875E-3</v>
      </c>
      <c r="AU101" s="36">
        <v>1.93184573943866E-3</v>
      </c>
      <c r="AV101" s="36">
        <v>1.9030804314349001E-3</v>
      </c>
      <c r="AW101" s="36">
        <v>1.8953420751957901E-3</v>
      </c>
      <c r="AX101" s="36">
        <v>2.0772225112564899E-3</v>
      </c>
      <c r="AY101" s="36">
        <v>1.9893979967644999E-3</v>
      </c>
      <c r="AZ101" s="36">
        <v>2.16491788919769E-3</v>
      </c>
      <c r="BA101" s="36">
        <v>1.80286990791186E-3</v>
      </c>
      <c r="BB101" s="36">
        <v>2.1592503536499402E-3</v>
      </c>
      <c r="BC101" s="36">
        <v>2.1372502894637601E-3</v>
      </c>
      <c r="BD101" s="6">
        <v>8.5299420000000001</v>
      </c>
      <c r="BE101" s="6">
        <v>8.4981410000000004</v>
      </c>
      <c r="BF101" s="6">
        <v>8.1888850000000009</v>
      </c>
      <c r="BG101" s="6">
        <v>8.3585930000000008</v>
      </c>
      <c r="BH101" s="6">
        <v>8.2129639999999995</v>
      </c>
      <c r="BI101" s="6">
        <v>8.1520639999999993</v>
      </c>
      <c r="BJ101" s="6">
        <v>8.1220280000000002</v>
      </c>
      <c r="BK101" s="6">
        <v>8.0605270000000004</v>
      </c>
      <c r="BL101" s="6">
        <v>8.0501210000000007</v>
      </c>
      <c r="BM101" s="6">
        <v>8.1211300000000008</v>
      </c>
      <c r="BN101" s="6">
        <v>8.2422389999999996</v>
      </c>
      <c r="BO101" s="6">
        <v>8.1576179999999994</v>
      </c>
      <c r="BP101" s="6">
        <v>8.291976</v>
      </c>
      <c r="BQ101" s="6">
        <v>8.1989699999999992</v>
      </c>
      <c r="BR101" s="6">
        <v>8.2203610000000005</v>
      </c>
      <c r="BS101" s="6">
        <v>8.1357900000000001</v>
      </c>
      <c r="BT101" s="6">
        <v>8.2576739999999997</v>
      </c>
    </row>
    <row r="102" spans="1:72">
      <c r="A102" s="7" t="s">
        <v>374</v>
      </c>
      <c r="B102" s="1" t="s">
        <v>109</v>
      </c>
      <c r="C102" s="21">
        <v>0.59411724242781205</v>
      </c>
      <c r="D102" s="21">
        <v>1.52948706242117E-2</v>
      </c>
      <c r="E102" s="10">
        <v>3.5833473635911929E-3</v>
      </c>
      <c r="F102" s="3">
        <v>1.1693264720818081E-2</v>
      </c>
      <c r="G102" s="3">
        <v>8.2939261744966295</v>
      </c>
      <c r="H102" s="1">
        <v>8.0567555862412306</v>
      </c>
      <c r="I102" s="3">
        <f t="shared" si="3"/>
        <v>0.23717058825539894</v>
      </c>
      <c r="J102">
        <v>1</v>
      </c>
      <c r="K102">
        <v>2</v>
      </c>
      <c r="L102" s="1">
        <v>4.9306692463387598E-2</v>
      </c>
      <c r="M102" s="4">
        <v>20.281222488053601</v>
      </c>
      <c r="N102" s="21">
        <v>6.1396371447092504</v>
      </c>
      <c r="O102" s="21" t="s">
        <v>294</v>
      </c>
      <c r="P102" s="21">
        <v>0.59411724242781205</v>
      </c>
      <c r="Q102" s="21">
        <v>0</v>
      </c>
      <c r="R102" s="21">
        <v>0</v>
      </c>
      <c r="S102" s="21">
        <v>0</v>
      </c>
      <c r="T102">
        <v>0</v>
      </c>
      <c r="U102" s="21">
        <f t="shared" si="5"/>
        <v>8.2939261744966295</v>
      </c>
      <c r="V102" s="5">
        <v>8.3550000000000004</v>
      </c>
      <c r="W102" s="5">
        <v>9.5500000000000007</v>
      </c>
      <c r="X102" s="5">
        <v>9.01</v>
      </c>
      <c r="Y102" s="5">
        <v>7.57</v>
      </c>
      <c r="Z102" s="5">
        <v>6.625</v>
      </c>
      <c r="AA102" s="5">
        <v>8.3687500000000004</v>
      </c>
      <c r="AB102" s="5">
        <v>7.03</v>
      </c>
      <c r="AC102" s="5">
        <v>9.0653849999999991</v>
      </c>
      <c r="AD102" s="5">
        <v>8.5115379999999998</v>
      </c>
      <c r="AE102" s="5">
        <v>7.7050000000000001</v>
      </c>
      <c r="AF102" s="5">
        <v>8.4756250000000009</v>
      </c>
      <c r="AG102" s="5">
        <v>7.7757139999999998</v>
      </c>
      <c r="AH102" s="5">
        <v>7.9942859999999998</v>
      </c>
      <c r="AI102" s="5">
        <v>7.27</v>
      </c>
      <c r="AJ102" s="5">
        <v>8.35</v>
      </c>
      <c r="AK102" s="5">
        <v>8.1460000000000008</v>
      </c>
      <c r="AL102" s="5">
        <v>7.8014289999999997</v>
      </c>
      <c r="AM102" s="36">
        <v>9.4597262136743195E-3</v>
      </c>
      <c r="AN102" s="36">
        <v>3.8239327838024101E-3</v>
      </c>
      <c r="AO102" s="36">
        <v>4.14187795689355E-3</v>
      </c>
      <c r="AP102" s="36">
        <v>4.0140372910818702E-3</v>
      </c>
      <c r="AQ102" s="36">
        <v>3.9005901391336202E-3</v>
      </c>
      <c r="AR102" s="36">
        <v>3.5396580419606999E-3</v>
      </c>
      <c r="AS102" s="36">
        <v>3.1626169900073101E-3</v>
      </c>
      <c r="AT102" s="36">
        <v>3.45524797648908E-3</v>
      </c>
      <c r="AU102" s="36">
        <v>3.0759233103882198E-3</v>
      </c>
      <c r="AV102" s="36">
        <v>3.03012261335899E-3</v>
      </c>
      <c r="AW102" s="36">
        <v>3.0178014482400402E-3</v>
      </c>
      <c r="AX102" s="36">
        <v>3.3073951055189298E-3</v>
      </c>
      <c r="AY102" s="36">
        <v>3.1675591621853098E-3</v>
      </c>
      <c r="AZ102" s="36">
        <v>3.44702543506119E-3</v>
      </c>
      <c r="BA102" s="36">
        <v>2.87056541944956E-3</v>
      </c>
      <c r="BB102" s="36">
        <v>3.4380014719424599E-3</v>
      </c>
      <c r="BC102" s="36">
        <v>3.40297253102921E-3</v>
      </c>
      <c r="BD102" s="6">
        <v>8.1729079999999996</v>
      </c>
      <c r="BE102" s="6">
        <v>8.1300000000000008</v>
      </c>
      <c r="BF102" s="6">
        <v>8.218337</v>
      </c>
      <c r="BG102" s="6">
        <v>8.4320179999999993</v>
      </c>
      <c r="BH102" s="6">
        <v>8.1603999999999992</v>
      </c>
      <c r="BI102" s="6">
        <v>8.0263299999999997</v>
      </c>
      <c r="BJ102" s="6">
        <v>7.6166179999999999</v>
      </c>
      <c r="BK102" s="6">
        <v>7.8897880000000002</v>
      </c>
      <c r="BL102" s="6">
        <v>7.8671720000000001</v>
      </c>
      <c r="BM102" s="6">
        <v>7.8343299999999996</v>
      </c>
      <c r="BN102" s="6">
        <v>8.1003860000000003</v>
      </c>
      <c r="BO102" s="6">
        <v>8.0341120000000004</v>
      </c>
      <c r="BP102" s="6">
        <v>8.1650580000000001</v>
      </c>
      <c r="BQ102" s="6">
        <v>8.3076159999999994</v>
      </c>
      <c r="BR102" s="6">
        <v>8.3579659999999993</v>
      </c>
      <c r="BS102" s="6">
        <v>8.1193100000000005</v>
      </c>
      <c r="BT102" s="6">
        <v>8.1127690000000001</v>
      </c>
    </row>
    <row r="103" spans="1:72">
      <c r="A103" s="7" t="s">
        <v>375</v>
      </c>
      <c r="B103" s="1" t="s">
        <v>110</v>
      </c>
      <c r="C103" s="21">
        <v>0.40049850635744699</v>
      </c>
      <c r="D103" s="21">
        <v>2.8612359585082701E-2</v>
      </c>
      <c r="E103" s="10">
        <v>2.415559025039646E-3</v>
      </c>
      <c r="F103" s="3">
        <v>5.0960655612330291E-3</v>
      </c>
      <c r="G103" s="3">
        <v>6.6033333333333299</v>
      </c>
      <c r="H103" s="1">
        <v>7.0139593908629303</v>
      </c>
      <c r="I103" s="3">
        <f t="shared" si="3"/>
        <v>-0.41062605752960035</v>
      </c>
      <c r="J103">
        <v>3</v>
      </c>
      <c r="K103">
        <v>2</v>
      </c>
      <c r="L103" s="1">
        <v>0.12628723330886399</v>
      </c>
      <c r="M103" s="4">
        <v>7.9184567893278199</v>
      </c>
      <c r="N103" s="21">
        <v>7.0785002773056496</v>
      </c>
      <c r="O103" s="21" t="s">
        <v>294</v>
      </c>
      <c r="P103" s="21">
        <v>0.40049850635744699</v>
      </c>
      <c r="Q103" s="21">
        <v>0</v>
      </c>
      <c r="R103" s="21">
        <v>0</v>
      </c>
      <c r="S103" s="21">
        <v>0</v>
      </c>
      <c r="T103">
        <v>0</v>
      </c>
      <c r="U103" s="21">
        <f t="shared" si="5"/>
        <v>6.6033333333333299</v>
      </c>
      <c r="V103" s="5">
        <v>0</v>
      </c>
      <c r="W103" s="5">
        <v>6.1</v>
      </c>
      <c r="X103" s="5">
        <v>7.9</v>
      </c>
      <c r="Y103" s="5">
        <v>0</v>
      </c>
      <c r="Z103" s="5">
        <v>0</v>
      </c>
      <c r="AA103" s="5">
        <v>3.61</v>
      </c>
      <c r="AB103" s="5">
        <v>3.25</v>
      </c>
      <c r="AC103" s="5">
        <v>3.7</v>
      </c>
      <c r="AD103" s="5">
        <v>6.4</v>
      </c>
      <c r="AE103" s="5">
        <v>9.3249999999999993</v>
      </c>
      <c r="AF103" s="5">
        <v>7.03</v>
      </c>
      <c r="AG103" s="5">
        <v>9.1</v>
      </c>
      <c r="AH103" s="5">
        <v>5.95</v>
      </c>
      <c r="AI103" s="5">
        <v>7.0750000000000002</v>
      </c>
      <c r="AJ103" s="5">
        <v>7.3</v>
      </c>
      <c r="AK103" s="5">
        <v>7.9749999999999996</v>
      </c>
      <c r="AL103" s="5">
        <v>6.5125000000000002</v>
      </c>
      <c r="AM103" s="36">
        <v>6.3768662960279002E-3</v>
      </c>
      <c r="AN103" s="36">
        <v>2.5777393062451298E-3</v>
      </c>
      <c r="AO103" s="36">
        <v>2.7920683272414102E-3</v>
      </c>
      <c r="AP103" s="36">
        <v>2.7058900579488101E-3</v>
      </c>
      <c r="AQ103" s="36">
        <v>2.6294145550327399E-3</v>
      </c>
      <c r="AR103" s="36">
        <v>2.3861077537968198E-3</v>
      </c>
      <c r="AS103" s="36">
        <v>2.1319417957012302E-3</v>
      </c>
      <c r="AT103" s="36">
        <v>2.3292063499513798E-3</v>
      </c>
      <c r="AU103" s="36">
        <v>2.0735009919026501E-3</v>
      </c>
      <c r="AV103" s="36">
        <v>2.0426264280280501E-3</v>
      </c>
      <c r="AW103" s="36">
        <v>2.0343206461480999E-3</v>
      </c>
      <c r="AX103" s="36">
        <v>2.2295377159588302E-3</v>
      </c>
      <c r="AY103" s="36">
        <v>2.1352733478496901E-3</v>
      </c>
      <c r="AZ103" s="36">
        <v>2.3236634784015299E-3</v>
      </c>
      <c r="BA103" s="36">
        <v>1.9350678296979E-3</v>
      </c>
      <c r="BB103" s="36">
        <v>2.3175803629953699E-3</v>
      </c>
      <c r="BC103" s="36">
        <v>2.2939671137691599E-3</v>
      </c>
      <c r="BD103" s="6">
        <v>7.7514519999999996</v>
      </c>
      <c r="BE103" s="6">
        <v>7.2748840000000001</v>
      </c>
      <c r="BF103" s="6">
        <v>6.9614929999999999</v>
      </c>
      <c r="BG103" s="6">
        <v>7.3516180000000002</v>
      </c>
      <c r="BH103" s="6">
        <v>7.1001469999999998</v>
      </c>
      <c r="BI103" s="6">
        <v>6.884773</v>
      </c>
      <c r="BJ103" s="6">
        <v>6.7737499999999997</v>
      </c>
      <c r="BK103" s="6">
        <v>6.9207850000000004</v>
      </c>
      <c r="BL103" s="6">
        <v>6.4479170000000003</v>
      </c>
      <c r="BM103" s="6">
        <v>7.0136070000000004</v>
      </c>
      <c r="BN103" s="6">
        <v>7.1532929999999997</v>
      </c>
      <c r="BO103" s="6">
        <v>6.8589339999999996</v>
      </c>
      <c r="BP103" s="6">
        <v>7.0863189999999996</v>
      </c>
      <c r="BQ103" s="6">
        <v>7.3028719999999998</v>
      </c>
      <c r="BR103" s="6">
        <v>7.6446339999999999</v>
      </c>
      <c r="BS103" s="6">
        <v>7.2073910000000003</v>
      </c>
      <c r="BT103" s="6">
        <v>7.0674999999999999</v>
      </c>
    </row>
    <row r="104" spans="1:72">
      <c r="A104" s="7" t="s">
        <v>376</v>
      </c>
      <c r="B104" s="1" t="s">
        <v>111</v>
      </c>
      <c r="C104" s="21">
        <v>0.26658103980985498</v>
      </c>
      <c r="D104" s="21">
        <v>5.3901114396710102E-2</v>
      </c>
      <c r="E104" s="10">
        <v>1.607851780706584E-3</v>
      </c>
      <c r="F104" s="3">
        <v>1.4950966088445503E-3</v>
      </c>
      <c r="G104" s="3">
        <v>6.8776923076923104</v>
      </c>
      <c r="H104" s="1">
        <v>6.3266297468354296</v>
      </c>
      <c r="I104" s="3">
        <f t="shared" si="3"/>
        <v>0.55106256085688088</v>
      </c>
      <c r="J104">
        <v>6</v>
      </c>
      <c r="K104">
        <v>4</v>
      </c>
      <c r="L104" s="1">
        <v>0.128333662370925</v>
      </c>
      <c r="M104" s="4">
        <v>7.7921878135892602</v>
      </c>
      <c r="N104" s="21">
        <v>7.0112819291999298</v>
      </c>
      <c r="O104" s="21" t="s">
        <v>294</v>
      </c>
      <c r="P104" s="21">
        <v>0.26658103980985498</v>
      </c>
      <c r="Q104" s="21">
        <v>0</v>
      </c>
      <c r="R104" s="21">
        <v>0</v>
      </c>
      <c r="S104" s="21">
        <v>0</v>
      </c>
      <c r="T104">
        <v>0</v>
      </c>
      <c r="U104" s="21">
        <f t="shared" si="5"/>
        <v>6.8776923076923104</v>
      </c>
      <c r="V104" s="5">
        <v>0</v>
      </c>
      <c r="W104" s="5">
        <v>0</v>
      </c>
      <c r="X104" s="5">
        <v>6.4</v>
      </c>
      <c r="Y104" s="5">
        <v>4.5999999999999996</v>
      </c>
      <c r="Z104" s="5">
        <v>3.61</v>
      </c>
      <c r="AA104" s="5">
        <v>0</v>
      </c>
      <c r="AB104" s="5">
        <v>5.5</v>
      </c>
      <c r="AC104" s="5">
        <v>0</v>
      </c>
      <c r="AD104" s="5">
        <v>0</v>
      </c>
      <c r="AE104" s="5">
        <v>7.9749999999999996</v>
      </c>
      <c r="AF104" s="5">
        <v>7.9749999999999996</v>
      </c>
      <c r="AG104" s="5">
        <v>0</v>
      </c>
      <c r="AH104" s="5">
        <v>0</v>
      </c>
      <c r="AI104" s="5">
        <v>5.5</v>
      </c>
      <c r="AJ104" s="5">
        <v>0</v>
      </c>
      <c r="AK104" s="5">
        <v>9.5500000000000007</v>
      </c>
      <c r="AL104" s="5">
        <v>0</v>
      </c>
      <c r="AM104" s="36">
        <v>4.2445892330153102E-3</v>
      </c>
      <c r="AN104" s="36">
        <v>1.7158027151398499E-3</v>
      </c>
      <c r="AO104" s="36">
        <v>1.8584650531302501E-3</v>
      </c>
      <c r="AP104" s="36">
        <v>1.8011028101446701E-3</v>
      </c>
      <c r="AQ104" s="36">
        <v>1.7501989521683499E-3</v>
      </c>
      <c r="AR104" s="36">
        <v>1.5882483355326099E-3</v>
      </c>
      <c r="AS104" s="36">
        <v>1.41906961372006E-3</v>
      </c>
      <c r="AT104" s="36">
        <v>1.55037344920228E-3</v>
      </c>
      <c r="AU104" s="36">
        <v>1.38017006728818E-3</v>
      </c>
      <c r="AV104" s="36">
        <v>1.3596192457227701E-3</v>
      </c>
      <c r="AW104" s="36">
        <v>1.35409072580361E-3</v>
      </c>
      <c r="AX104" s="36">
        <v>1.4840317084357101E-3</v>
      </c>
      <c r="AY104" s="36">
        <v>1.4212871716430501E-3</v>
      </c>
      <c r="AZ104" s="36">
        <v>1.54668398610108E-3</v>
      </c>
      <c r="BA104" s="36">
        <v>1.2880257627804099E-3</v>
      </c>
      <c r="BB104" s="36">
        <v>1.5426349242331401E-3</v>
      </c>
      <c r="BC104" s="36">
        <v>1.5269174011161E-3</v>
      </c>
      <c r="BD104" s="6">
        <v>6.94</v>
      </c>
      <c r="BE104" s="6">
        <v>5.152857</v>
      </c>
      <c r="BF104" s="6">
        <v>6.1935289999999998</v>
      </c>
      <c r="BG104" s="6">
        <v>6.625</v>
      </c>
      <c r="BH104" s="6">
        <v>6.3918179999999998</v>
      </c>
      <c r="BI104" s="6">
        <v>6.2965</v>
      </c>
      <c r="BJ104" s="6">
        <v>6.202</v>
      </c>
      <c r="BK104" s="6">
        <v>6.146852</v>
      </c>
      <c r="BL104" s="6">
        <v>6.7149999999999999</v>
      </c>
      <c r="BM104" s="6">
        <v>6.3239999999999998</v>
      </c>
      <c r="BN104" s="6">
        <v>7.0933330000000003</v>
      </c>
      <c r="BO104" s="6">
        <v>6.1218919999999999</v>
      </c>
      <c r="BP104" s="6">
        <v>5.8466670000000001</v>
      </c>
      <c r="BQ104" s="6">
        <v>6.625</v>
      </c>
      <c r="BR104" s="6">
        <v>6.0645449999999999</v>
      </c>
      <c r="BS104" s="6">
        <v>6.3550000000000004</v>
      </c>
      <c r="BT104" s="6">
        <v>6.7554999999999996</v>
      </c>
    </row>
    <row r="105" spans="1:72">
      <c r="A105" s="7" t="s">
        <v>377</v>
      </c>
      <c r="B105" s="1" t="s">
        <v>112</v>
      </c>
      <c r="C105" s="21">
        <v>0.24114572255459901</v>
      </c>
      <c r="D105" s="21">
        <v>3.2686240092083499E-2</v>
      </c>
      <c r="E105" s="10">
        <v>1.7186234619976869E-3</v>
      </c>
      <c r="F105" s="3">
        <v>2.300355175705164E-3</v>
      </c>
      <c r="G105" s="3">
        <v>7.56216216216216</v>
      </c>
      <c r="H105" s="1">
        <v>7.0301592356688198</v>
      </c>
      <c r="I105" s="3">
        <f t="shared" si="3"/>
        <v>0.53200292649334013</v>
      </c>
      <c r="J105">
        <v>6</v>
      </c>
      <c r="K105">
        <v>4</v>
      </c>
      <c r="L105" s="1">
        <v>0.106839990538232</v>
      </c>
      <c r="M105" s="4">
        <v>9.3597911696010208</v>
      </c>
      <c r="N105" s="21">
        <v>6.9404494423993901</v>
      </c>
      <c r="O105" s="21" t="s">
        <v>456</v>
      </c>
      <c r="P105" s="21">
        <v>41.858925257621301</v>
      </c>
      <c r="Q105" s="21">
        <v>5.8199074727280599E-3</v>
      </c>
      <c r="R105" s="21">
        <v>0</v>
      </c>
      <c r="S105" s="21">
        <v>1.09164770592427E-2</v>
      </c>
      <c r="T105">
        <v>0</v>
      </c>
      <c r="U105" s="21">
        <f t="shared" si="5"/>
        <v>7.56216216216216</v>
      </c>
      <c r="V105" s="5">
        <v>2.8</v>
      </c>
      <c r="W105" s="5">
        <v>6.1749999999999998</v>
      </c>
      <c r="X105" s="5">
        <v>9.5500000000000007</v>
      </c>
      <c r="Y105" s="5">
        <v>9.5500000000000007</v>
      </c>
      <c r="Z105" s="5">
        <v>0</v>
      </c>
      <c r="AA105" s="5">
        <v>5.5</v>
      </c>
      <c r="AB105" s="5">
        <v>6.2874999999999996</v>
      </c>
      <c r="AC105" s="5">
        <v>8.2899999999999991</v>
      </c>
      <c r="AD105" s="5">
        <v>2.8</v>
      </c>
      <c r="AE105" s="5">
        <v>7.1920000000000002</v>
      </c>
      <c r="AF105" s="5">
        <v>9.3249999999999993</v>
      </c>
      <c r="AG105" s="5">
        <v>8.6125000000000007</v>
      </c>
      <c r="AH105" s="5">
        <v>6.4</v>
      </c>
      <c r="AI105" s="5">
        <v>9.5500000000000007</v>
      </c>
      <c r="AJ105" s="5">
        <v>6.4</v>
      </c>
      <c r="AK105" s="5">
        <v>6.13</v>
      </c>
      <c r="AL105" s="5">
        <v>0</v>
      </c>
      <c r="AM105" s="36">
        <v>3.4187944539960701E-3</v>
      </c>
      <c r="AN105" s="36">
        <v>1.3819892773238699E-3</v>
      </c>
      <c r="AO105" s="36">
        <v>1.4968963232453E-3</v>
      </c>
      <c r="AP105" s="36">
        <v>1.45069403901424E-3</v>
      </c>
      <c r="AQ105" s="36">
        <v>1.40969364585892E-3</v>
      </c>
      <c r="AR105" s="36">
        <v>1.2792509010889699E-3</v>
      </c>
      <c r="AS105" s="36">
        <v>1.14298629593753E-3</v>
      </c>
      <c r="AT105" s="36">
        <v>1.2487446626231399E-3</v>
      </c>
      <c r="AU105" s="36">
        <v>1.11165474739336E-3</v>
      </c>
      <c r="AV105" s="36">
        <v>1.0951021363075999E-3</v>
      </c>
      <c r="AW105" s="36">
        <v>1.0906492028903E-3</v>
      </c>
      <c r="AX105" s="36">
        <v>1.1953098629405199E-3</v>
      </c>
      <c r="AY105" s="36">
        <v>1.14477242277156E-3</v>
      </c>
      <c r="AZ105" s="36">
        <v>1.24577299321153E-3</v>
      </c>
      <c r="BA105" s="36">
        <v>1.0374373331926701E-3</v>
      </c>
      <c r="BB105" s="36">
        <v>1.2425116858156701E-3</v>
      </c>
      <c r="BC105" s="36">
        <v>1.22985204364226E-3</v>
      </c>
      <c r="BD105" s="6">
        <v>6.391</v>
      </c>
      <c r="BE105" s="6">
        <v>6.9190909999999999</v>
      </c>
      <c r="BF105" s="6">
        <v>6.2025930000000002</v>
      </c>
      <c r="BG105" s="6">
        <v>8.1357140000000001</v>
      </c>
      <c r="BH105" s="6">
        <v>7.5750000000000002</v>
      </c>
      <c r="BI105" s="6">
        <v>6.4736359999999999</v>
      </c>
      <c r="BJ105" s="6">
        <v>6.4470000000000001</v>
      </c>
      <c r="BK105" s="6">
        <v>6.71</v>
      </c>
      <c r="BL105" s="6">
        <v>6.4144439999999996</v>
      </c>
      <c r="BM105" s="6">
        <v>6.5747869999999997</v>
      </c>
      <c r="BN105" s="6">
        <v>7.2594120000000002</v>
      </c>
      <c r="BO105" s="6">
        <v>7.4585379999999999</v>
      </c>
      <c r="BP105" s="6">
        <v>7.0502039999999999</v>
      </c>
      <c r="BQ105" s="6">
        <v>7.4696150000000001</v>
      </c>
      <c r="BR105" s="6">
        <v>7.5124000000000004</v>
      </c>
      <c r="BS105" s="6">
        <v>7.3058699999999996</v>
      </c>
      <c r="BT105" s="6">
        <v>7.486923</v>
      </c>
    </row>
    <row r="106" spans="1:72">
      <c r="A106" s="7" t="s">
        <v>378</v>
      </c>
      <c r="B106" s="1" t="s">
        <v>113</v>
      </c>
      <c r="C106" s="21">
        <v>0.29408987243839202</v>
      </c>
      <c r="D106" s="21">
        <v>3.8189562162210602E-2</v>
      </c>
      <c r="E106" s="10">
        <v>1.7737680272577291E-3</v>
      </c>
      <c r="F106" s="3">
        <v>2.7916875875605464E-3</v>
      </c>
      <c r="G106" s="3">
        <v>7.6150000000000002</v>
      </c>
      <c r="H106" s="1">
        <v>8.1328627968338392</v>
      </c>
      <c r="I106" s="3">
        <f t="shared" si="3"/>
        <v>-0.51786279683383896</v>
      </c>
      <c r="J106">
        <v>7</v>
      </c>
      <c r="K106">
        <v>4</v>
      </c>
      <c r="L106" s="1">
        <v>0.159254207614869</v>
      </c>
      <c r="M106" s="4">
        <v>6.2792689435141398</v>
      </c>
      <c r="N106" s="21">
        <v>9.5500000000000007</v>
      </c>
      <c r="O106" s="21" t="s">
        <v>456</v>
      </c>
      <c r="P106" s="21">
        <v>34.534882812132103</v>
      </c>
      <c r="Q106" s="21">
        <v>8.3106012895494408E-3</v>
      </c>
      <c r="R106" s="21">
        <v>0</v>
      </c>
      <c r="S106" s="21">
        <v>3.5401635661611801E-2</v>
      </c>
      <c r="T106">
        <v>0</v>
      </c>
      <c r="U106" s="21">
        <f t="shared" si="5"/>
        <v>7.6150000000000002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9.5500000000000007</v>
      </c>
      <c r="AC106" s="5">
        <v>2.8</v>
      </c>
      <c r="AD106" s="5">
        <v>7.0750000000000002</v>
      </c>
      <c r="AE106" s="5">
        <v>0</v>
      </c>
      <c r="AF106" s="5">
        <v>8.65</v>
      </c>
      <c r="AG106" s="5">
        <v>0</v>
      </c>
      <c r="AH106" s="5">
        <v>0</v>
      </c>
      <c r="AI106" s="5">
        <v>2.8</v>
      </c>
      <c r="AJ106" s="5">
        <v>0</v>
      </c>
      <c r="AK106" s="5">
        <v>0</v>
      </c>
      <c r="AL106" s="5">
        <v>9.5500000000000007</v>
      </c>
      <c r="AM106" s="36">
        <v>4.6825937320269196E-3</v>
      </c>
      <c r="AN106" s="36">
        <v>1.89285855432495E-3</v>
      </c>
      <c r="AO106" s="36">
        <v>2.0502423983195799E-3</v>
      </c>
      <c r="AP106" s="36">
        <v>1.9869608733677699E-3</v>
      </c>
      <c r="AQ106" s="36">
        <v>1.9308041822934201E-3</v>
      </c>
      <c r="AR106" s="36">
        <v>1.75214167793192E-3</v>
      </c>
      <c r="AS106" s="36">
        <v>1.56550519113364E-3</v>
      </c>
      <c r="AT106" s="36">
        <v>1.7103584344670001E-3</v>
      </c>
      <c r="AU106" s="36">
        <v>1.5225915516031501E-3</v>
      </c>
      <c r="AV106" s="36">
        <v>1.4999200649250799E-3</v>
      </c>
      <c r="AW106" s="36">
        <v>1.49382105008532E-3</v>
      </c>
      <c r="AX106" s="36">
        <v>1.6371708060696601E-3</v>
      </c>
      <c r="AY106" s="36">
        <v>1.56795158164649E-3</v>
      </c>
      <c r="AZ106" s="36">
        <v>1.7062882510301999E-3</v>
      </c>
      <c r="BA106" s="36">
        <v>1.4209387604746299E-3</v>
      </c>
      <c r="BB106" s="36">
        <v>1.70182136137786E-3</v>
      </c>
      <c r="BC106" s="36">
        <v>1.6844819272911901E-3</v>
      </c>
      <c r="BD106" s="6">
        <v>8.1999999999999993</v>
      </c>
      <c r="BE106" s="6">
        <v>7.7891300000000001</v>
      </c>
      <c r="BF106" s="6">
        <v>8.1150000000000002</v>
      </c>
      <c r="BG106" s="6">
        <v>8.0274999999999999</v>
      </c>
      <c r="BH106" s="6">
        <v>8.0752269999999999</v>
      </c>
      <c r="BI106" s="6">
        <v>8.0987500000000008</v>
      </c>
      <c r="BJ106" s="6">
        <v>7.8565310000000004</v>
      </c>
      <c r="BK106" s="6">
        <v>8.0495520000000003</v>
      </c>
      <c r="BL106" s="6">
        <v>7.5734620000000001</v>
      </c>
      <c r="BM106" s="6">
        <v>8.1061969999999999</v>
      </c>
      <c r="BN106" s="6">
        <v>8.0941890000000001</v>
      </c>
      <c r="BO106" s="6">
        <v>8.4659460000000006</v>
      </c>
      <c r="BP106" s="6">
        <v>8.6288239999999998</v>
      </c>
      <c r="BQ106" s="6">
        <v>7.7781250000000002</v>
      </c>
      <c r="BR106" s="6">
        <v>8.6</v>
      </c>
      <c r="BS106" s="6">
        <v>8.5749999999999993</v>
      </c>
      <c r="BT106" s="6">
        <v>8.6082140000000003</v>
      </c>
    </row>
    <row r="107" spans="1:72">
      <c r="A107" s="7" t="s">
        <v>379</v>
      </c>
      <c r="B107" s="1" t="s">
        <v>114</v>
      </c>
      <c r="C107" s="21">
        <v>0.29255197075435402</v>
      </c>
      <c r="D107" s="21">
        <v>1.1533561512508299E-2</v>
      </c>
      <c r="E107" s="10">
        <v>1.764492356478608E-3</v>
      </c>
      <c r="F107" s="3">
        <v>8.828214771228849E-3</v>
      </c>
      <c r="G107" s="3">
        <v>5.5121804511278203</v>
      </c>
      <c r="H107" s="1">
        <v>6.0155239416357604</v>
      </c>
      <c r="I107" s="3">
        <f t="shared" si="3"/>
        <v>-0.50334349050794014</v>
      </c>
      <c r="J107">
        <v>8</v>
      </c>
      <c r="K107">
        <v>2</v>
      </c>
      <c r="L107" s="1">
        <v>4.8571968512039002E-2</v>
      </c>
      <c r="M107" s="4">
        <v>20.588006429101998</v>
      </c>
      <c r="N107" s="21">
        <v>6.7598473137947899</v>
      </c>
      <c r="O107" s="21" t="s">
        <v>294</v>
      </c>
      <c r="P107" s="21">
        <v>0.29255197075435402</v>
      </c>
      <c r="Q107" s="21">
        <v>0</v>
      </c>
      <c r="R107" s="21">
        <v>0</v>
      </c>
      <c r="S107" s="21">
        <v>0</v>
      </c>
      <c r="T107">
        <v>0</v>
      </c>
      <c r="U107" s="21">
        <f t="shared" si="5"/>
        <v>5.5121804511278203</v>
      </c>
      <c r="V107" s="5">
        <v>6.1749999999999998</v>
      </c>
      <c r="W107" s="5">
        <v>5.628571</v>
      </c>
      <c r="X107" s="5">
        <v>6.29</v>
      </c>
      <c r="Y107" s="5">
        <v>5.05</v>
      </c>
      <c r="Z107" s="5">
        <v>6.7</v>
      </c>
      <c r="AA107" s="5">
        <v>5.95</v>
      </c>
      <c r="AB107" s="5">
        <v>4.117273</v>
      </c>
      <c r="AC107" s="5">
        <v>5.3274999999999997</v>
      </c>
      <c r="AD107" s="5">
        <v>5.1985000000000001</v>
      </c>
      <c r="AE107" s="5">
        <v>5.1624999999999996</v>
      </c>
      <c r="AF107" s="5">
        <v>4.6224999999999996</v>
      </c>
      <c r="AG107" s="5">
        <v>7.4145450000000004</v>
      </c>
      <c r="AH107" s="5">
        <v>4.7949999999999999</v>
      </c>
      <c r="AI107" s="5">
        <v>5.28</v>
      </c>
      <c r="AJ107" s="5">
        <v>6.0014289999999999</v>
      </c>
      <c r="AK107" s="5">
        <v>6.2971430000000002</v>
      </c>
      <c r="AL107" s="5">
        <v>4.8099999999999996</v>
      </c>
      <c r="AM107" s="36">
        <v>4.6581067657589497E-3</v>
      </c>
      <c r="AN107" s="36">
        <v>1.8829601163603701E-3</v>
      </c>
      <c r="AO107" s="36">
        <v>2.0395209436468299E-3</v>
      </c>
      <c r="AP107" s="36">
        <v>1.9765703405420902E-3</v>
      </c>
      <c r="AQ107" s="36">
        <v>1.9207073129967099E-3</v>
      </c>
      <c r="AR107" s="36">
        <v>1.7429790991092501E-3</v>
      </c>
      <c r="AS107" s="36">
        <v>1.5573186016062501E-3</v>
      </c>
      <c r="AT107" s="36">
        <v>1.7014143552477299E-3</v>
      </c>
      <c r="AU107" s="36">
        <v>1.5146293729266199E-3</v>
      </c>
      <c r="AV107" s="36">
        <v>1.4920764436040001E-3</v>
      </c>
      <c r="AW107" s="36">
        <v>1.4860093227057601E-3</v>
      </c>
      <c r="AX107" s="36">
        <v>1.6286094512741401E-3</v>
      </c>
      <c r="AY107" s="36">
        <v>1.5597521990635E-3</v>
      </c>
      <c r="AZ107" s="36">
        <v>1.6973654562635701E-3</v>
      </c>
      <c r="BA107" s="36">
        <v>1.4135081607925301E-3</v>
      </c>
      <c r="BB107" s="36">
        <v>1.6929219255832999E-3</v>
      </c>
      <c r="BC107" s="36">
        <v>1.67567316563193E-3</v>
      </c>
      <c r="BD107" s="6">
        <v>6.1044919999999996</v>
      </c>
      <c r="BE107" s="6">
        <v>5.9380959999999998</v>
      </c>
      <c r="BF107" s="6">
        <v>6.4524340000000002</v>
      </c>
      <c r="BG107" s="6">
        <v>6.2885289999999996</v>
      </c>
      <c r="BH107" s="6">
        <v>5.870603</v>
      </c>
      <c r="BI107" s="6">
        <v>6.004448</v>
      </c>
      <c r="BJ107" s="6">
        <v>6.2771220000000003</v>
      </c>
      <c r="BK107" s="6">
        <v>6.0262010000000004</v>
      </c>
      <c r="BL107" s="6">
        <v>5.7029569999999996</v>
      </c>
      <c r="BM107" s="6">
        <v>5.7918770000000004</v>
      </c>
      <c r="BN107" s="6">
        <v>6.0643029999999998</v>
      </c>
      <c r="BO107" s="6">
        <v>6.222397</v>
      </c>
      <c r="BP107" s="6">
        <v>5.9905730000000004</v>
      </c>
      <c r="BQ107" s="6">
        <v>5.7383040000000003</v>
      </c>
      <c r="BR107" s="6">
        <v>5.4885570000000001</v>
      </c>
      <c r="BS107" s="6">
        <v>6.1397909999999998</v>
      </c>
      <c r="BT107" s="6">
        <v>5.825825</v>
      </c>
    </row>
    <row r="108" spans="1:72">
      <c r="A108" s="7" t="s">
        <v>380</v>
      </c>
      <c r="B108" s="1" t="s">
        <v>116</v>
      </c>
      <c r="C108" s="21">
        <v>0.24449693476661399</v>
      </c>
      <c r="D108" s="21">
        <v>2.5841400866574198E-2</v>
      </c>
      <c r="E108" s="10">
        <v>2.532825040194499E-3</v>
      </c>
      <c r="F108" s="3">
        <v>1.7926510032559221E-3</v>
      </c>
      <c r="G108" s="3">
        <v>5.2871153846153804</v>
      </c>
      <c r="H108" s="1">
        <v>5.6610613134142502</v>
      </c>
      <c r="I108" s="3">
        <f t="shared" si="3"/>
        <v>-0.37394592879886979</v>
      </c>
      <c r="J108">
        <v>3</v>
      </c>
      <c r="K108">
        <v>2</v>
      </c>
      <c r="L108" s="1">
        <v>6.6889526242821004E-2</v>
      </c>
      <c r="M108" s="4">
        <v>14.950023660951301</v>
      </c>
      <c r="N108" s="21">
        <v>6.52959384026199</v>
      </c>
      <c r="O108" s="21" t="s">
        <v>456</v>
      </c>
      <c r="P108" s="21">
        <v>43.153356032957497</v>
      </c>
      <c r="Q108" s="21">
        <v>5.71288042537587E-3</v>
      </c>
      <c r="R108" s="21">
        <v>0</v>
      </c>
      <c r="S108" s="21">
        <v>3.41456543873715E-3</v>
      </c>
      <c r="T108">
        <v>0</v>
      </c>
      <c r="U108" s="21">
        <f t="shared" si="5"/>
        <v>5.2871153846153804</v>
      </c>
      <c r="V108" s="5">
        <v>2.8</v>
      </c>
      <c r="W108" s="5">
        <v>4.5999999999999996</v>
      </c>
      <c r="X108" s="5">
        <v>0</v>
      </c>
      <c r="Y108" s="5">
        <v>0</v>
      </c>
      <c r="Z108" s="5">
        <v>0</v>
      </c>
      <c r="AA108" s="5">
        <v>0</v>
      </c>
      <c r="AB108" s="5">
        <v>3.61</v>
      </c>
      <c r="AC108" s="5">
        <v>5.65</v>
      </c>
      <c r="AD108" s="5">
        <v>3.2050000000000001</v>
      </c>
      <c r="AE108" s="5">
        <v>0</v>
      </c>
      <c r="AF108" s="5">
        <v>4.9375</v>
      </c>
      <c r="AG108" s="5">
        <v>9.5500000000000007</v>
      </c>
      <c r="AH108" s="5">
        <v>0</v>
      </c>
      <c r="AI108" s="5">
        <v>7.09</v>
      </c>
      <c r="AJ108" s="5">
        <v>5.2</v>
      </c>
      <c r="AK108" s="5">
        <v>3.8125</v>
      </c>
      <c r="AL108" s="5">
        <v>5.5750000000000002</v>
      </c>
      <c r="AM108" s="36">
        <v>6.4796634684616298E-3</v>
      </c>
      <c r="AN108" s="36">
        <v>2.6192933077957602E-3</v>
      </c>
      <c r="AO108" s="36">
        <v>2.8370773827803299E-3</v>
      </c>
      <c r="AP108" s="36">
        <v>2.7495098915725699E-3</v>
      </c>
      <c r="AQ108" s="36">
        <v>2.6718015785119399E-3</v>
      </c>
      <c r="AR108" s="36">
        <v>2.4245725919831399E-3</v>
      </c>
      <c r="AS108" s="36">
        <v>2.1663093954308798E-3</v>
      </c>
      <c r="AT108" s="36">
        <v>2.3667539188785901E-3</v>
      </c>
      <c r="AU108" s="36">
        <v>2.1069265067419599E-3</v>
      </c>
      <c r="AV108" s="36">
        <v>2.07555423478958E-3</v>
      </c>
      <c r="AW108" s="36">
        <v>2.0671145609864701E-3</v>
      </c>
      <c r="AX108" s="36">
        <v>2.2654785938752602E-3</v>
      </c>
      <c r="AY108" s="36">
        <v>2.1696946532907099E-3</v>
      </c>
      <c r="AZ108" s="36">
        <v>2.36112169442466E-3</v>
      </c>
      <c r="BA108" s="36">
        <v>1.9662617566404E-3</v>
      </c>
      <c r="BB108" s="36">
        <v>2.3549405172065799E-3</v>
      </c>
      <c r="BC108" s="36">
        <v>2.3309466146720298E-3</v>
      </c>
      <c r="BD108" s="6">
        <v>4.9410530000000001</v>
      </c>
      <c r="BE108" s="6">
        <v>5.6617569999999997</v>
      </c>
      <c r="BF108" s="6">
        <v>5.5046150000000003</v>
      </c>
      <c r="BG108" s="6">
        <v>5.2559259999999997</v>
      </c>
      <c r="BH108" s="6">
        <v>5.2559089999999999</v>
      </c>
      <c r="BI108" s="6">
        <v>5.9918969999999998</v>
      </c>
      <c r="BJ108" s="6">
        <v>6.0660660000000002</v>
      </c>
      <c r="BK108" s="6">
        <v>5.2152500000000002</v>
      </c>
      <c r="BL108" s="6">
        <v>5.4769230000000002</v>
      </c>
      <c r="BM108" s="6">
        <v>5.3346660000000004</v>
      </c>
      <c r="BN108" s="6">
        <v>6.0849409999999997</v>
      </c>
      <c r="BO108" s="6">
        <v>6.1354740000000003</v>
      </c>
      <c r="BP108" s="6">
        <v>5.42</v>
      </c>
      <c r="BQ108" s="6">
        <v>5.4009999999999998</v>
      </c>
      <c r="BR108" s="6">
        <v>5.1648569999999996</v>
      </c>
      <c r="BS108" s="6">
        <v>5.3541999999999996</v>
      </c>
      <c r="BT108" s="6">
        <v>6.1634820000000001</v>
      </c>
    </row>
    <row r="109" spans="1:72">
      <c r="A109" s="7" t="s">
        <v>381</v>
      </c>
      <c r="B109" s="1" t="s">
        <v>117</v>
      </c>
      <c r="C109" s="21">
        <v>0.42902513390382202</v>
      </c>
      <c r="D109" s="21">
        <v>2.4824987162929298E-2</v>
      </c>
      <c r="E109" s="10">
        <v>2.58761398037596E-3</v>
      </c>
      <c r="F109" s="3">
        <v>4.2421998784336109E-3</v>
      </c>
      <c r="G109" s="3">
        <v>7.0750000000000002</v>
      </c>
      <c r="H109" s="1">
        <v>6.3235031000885797</v>
      </c>
      <c r="I109" s="3">
        <f t="shared" si="3"/>
        <v>0.75149689991142044</v>
      </c>
      <c r="J109">
        <v>2</v>
      </c>
      <c r="K109">
        <v>3</v>
      </c>
      <c r="L109" s="1">
        <v>0.10080908268330099</v>
      </c>
      <c r="M109" s="4">
        <v>9.9197410925915506</v>
      </c>
      <c r="N109" s="21">
        <v>5.8976209842815699</v>
      </c>
      <c r="O109" s="21" t="s">
        <v>294</v>
      </c>
      <c r="P109" s="21">
        <v>0.42902513390382202</v>
      </c>
      <c r="Q109" s="21">
        <v>0</v>
      </c>
      <c r="R109" s="21">
        <v>0</v>
      </c>
      <c r="S109" s="21">
        <v>0</v>
      </c>
      <c r="T109">
        <v>0</v>
      </c>
      <c r="U109" s="21">
        <f t="shared" si="5"/>
        <v>7.0750000000000002</v>
      </c>
      <c r="V109" s="5">
        <v>9.5500000000000007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9.1</v>
      </c>
      <c r="AD109" s="5">
        <v>4.1500000000000004</v>
      </c>
      <c r="AE109" s="5">
        <v>6.625</v>
      </c>
      <c r="AF109" s="5">
        <v>9.5500000000000007</v>
      </c>
      <c r="AG109" s="5">
        <v>6.04</v>
      </c>
      <c r="AH109" s="5">
        <v>0</v>
      </c>
      <c r="AI109" s="5">
        <v>8.35</v>
      </c>
      <c r="AJ109" s="5">
        <v>9.1</v>
      </c>
      <c r="AK109" s="5">
        <v>5.65</v>
      </c>
      <c r="AL109" s="5">
        <v>6.4</v>
      </c>
      <c r="AM109" s="36">
        <v>6.8310764537493403E-3</v>
      </c>
      <c r="AN109" s="36">
        <v>2.7613460062293699E-3</v>
      </c>
      <c r="AO109" s="36">
        <v>2.9909412118862299E-3</v>
      </c>
      <c r="AP109" s="36">
        <v>2.8986246540565201E-3</v>
      </c>
      <c r="AQ109" s="36">
        <v>2.8167019693071099E-3</v>
      </c>
      <c r="AR109" s="36">
        <v>2.5560649598727102E-3</v>
      </c>
      <c r="AS109" s="36">
        <v>2.2837953197247102E-3</v>
      </c>
      <c r="AT109" s="36">
        <v>2.4951105942094499E-3</v>
      </c>
      <c r="AU109" s="36">
        <v>2.22119190603619E-3</v>
      </c>
      <c r="AV109" s="36">
        <v>2.1881182148981199E-3</v>
      </c>
      <c r="AW109" s="36">
        <v>2.1792208304468501E-3</v>
      </c>
      <c r="AX109" s="36">
        <v>2.3883427826798202E-3</v>
      </c>
      <c r="AY109" s="36">
        <v>2.2873641710035898E-3</v>
      </c>
      <c r="AZ109" s="36">
        <v>2.4891729161129299E-3</v>
      </c>
      <c r="BA109" s="36">
        <v>2.0728984542283599E-3</v>
      </c>
      <c r="BB109" s="36">
        <v>2.4826565137786999E-3</v>
      </c>
      <c r="BC109" s="36">
        <v>2.4573613447571802E-3</v>
      </c>
      <c r="BD109" s="6">
        <v>6.3713639999999998</v>
      </c>
      <c r="BE109" s="6">
        <v>6.5115220000000003</v>
      </c>
      <c r="BF109" s="6">
        <v>6.7400820000000001</v>
      </c>
      <c r="BG109" s="6">
        <v>6.9105169999999996</v>
      </c>
      <c r="BH109" s="6">
        <v>6.3460000000000001</v>
      </c>
      <c r="BI109" s="6">
        <v>6.4606519999999996</v>
      </c>
      <c r="BJ109" s="6">
        <v>6.1642859999999997</v>
      </c>
      <c r="BK109" s="6">
        <v>6.0052479999999999</v>
      </c>
      <c r="BL109" s="6">
        <v>6.0509620000000002</v>
      </c>
      <c r="BM109" s="6">
        <v>6.2743159999999998</v>
      </c>
      <c r="BN109" s="6">
        <v>6.3918629999999999</v>
      </c>
      <c r="BO109" s="6">
        <v>6.1777170000000003</v>
      </c>
      <c r="BP109" s="6">
        <v>5.8981250000000003</v>
      </c>
      <c r="BQ109" s="6">
        <v>6.7270269999999996</v>
      </c>
      <c r="BR109" s="6">
        <v>6.990488</v>
      </c>
      <c r="BS109" s="6">
        <v>5.5304840000000004</v>
      </c>
      <c r="BT109" s="6">
        <v>7.396585</v>
      </c>
    </row>
    <row r="110" spans="1:72">
      <c r="A110" s="7" t="s">
        <v>382</v>
      </c>
      <c r="B110" s="1" t="s">
        <v>119</v>
      </c>
      <c r="C110" s="21">
        <v>0.42243310238443399</v>
      </c>
      <c r="D110" s="21">
        <v>8.8300554365846703E-2</v>
      </c>
      <c r="E110" s="10">
        <v>2.5478549276523221E-3</v>
      </c>
      <c r="F110" s="3">
        <v>5.9177490662195122E-4</v>
      </c>
      <c r="G110" s="3">
        <v>6.7374999999999998</v>
      </c>
      <c r="H110" s="1">
        <v>6.2013461538461501</v>
      </c>
      <c r="I110" s="3">
        <f t="shared" si="3"/>
        <v>0.53615384615384976</v>
      </c>
      <c r="J110">
        <v>2</v>
      </c>
      <c r="K110">
        <v>3</v>
      </c>
      <c r="L110" s="1">
        <v>0.20408900998579901</v>
      </c>
      <c r="M110" s="4">
        <v>4.8998228766437899</v>
      </c>
      <c r="N110" s="21">
        <v>5.5</v>
      </c>
      <c r="O110" s="21" t="s">
        <v>273</v>
      </c>
      <c r="P110" s="21">
        <v>65.803537613114898</v>
      </c>
      <c r="Q110" s="21">
        <v>6.5238184479255697E-3</v>
      </c>
      <c r="R110" s="21">
        <v>0</v>
      </c>
      <c r="S110" s="21">
        <v>1.1712442506561701E-2</v>
      </c>
      <c r="T110">
        <v>3.2625000000000002</v>
      </c>
      <c r="U110" s="21">
        <f t="shared" si="5"/>
        <v>10</v>
      </c>
      <c r="V110" s="5">
        <v>6.4</v>
      </c>
      <c r="W110" s="5">
        <v>0</v>
      </c>
      <c r="X110" s="5">
        <v>0</v>
      </c>
      <c r="Y110" s="5">
        <v>0</v>
      </c>
      <c r="Z110" s="5">
        <v>0</v>
      </c>
      <c r="AA110" s="5">
        <v>5.5</v>
      </c>
      <c r="AB110" s="5">
        <v>0</v>
      </c>
      <c r="AC110" s="5">
        <v>5.5</v>
      </c>
      <c r="AD110" s="5">
        <v>9.5500000000000007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36">
        <v>6.7261160033330299E-3</v>
      </c>
      <c r="AN110" s="36">
        <v>2.71891753649528E-3</v>
      </c>
      <c r="AO110" s="36">
        <v>2.9449849795275601E-3</v>
      </c>
      <c r="AP110" s="36">
        <v>2.8540868785920698E-3</v>
      </c>
      <c r="AQ110" s="36">
        <v>2.7734229474152198E-3</v>
      </c>
      <c r="AR110" s="36">
        <v>2.5167906622860698E-3</v>
      </c>
      <c r="AS110" s="36">
        <v>2.2487044834502302E-3</v>
      </c>
      <c r="AT110" s="36">
        <v>2.4567728690236901E-3</v>
      </c>
      <c r="AU110" s="36">
        <v>2.1870629800174101E-3</v>
      </c>
      <c r="AV110" s="36">
        <v>2.15449747079508E-3</v>
      </c>
      <c r="AW110" s="36">
        <v>2.14573679590721E-3</v>
      </c>
      <c r="AX110" s="36">
        <v>2.3516455599337598E-3</v>
      </c>
      <c r="AY110" s="36">
        <v>2.2522184988273001E-3</v>
      </c>
      <c r="AZ110" s="36">
        <v>2.4509264241861801E-3</v>
      </c>
      <c r="BA110" s="36">
        <v>2.04104807795221E-3</v>
      </c>
      <c r="BB110" s="36">
        <v>2.4445101472902698E-3</v>
      </c>
      <c r="BC110" s="36">
        <v>2.4196036420982099E-3</v>
      </c>
      <c r="BD110" s="6">
        <v>7.75</v>
      </c>
      <c r="BE110" s="6">
        <v>6.9625000000000004</v>
      </c>
      <c r="BF110" s="6">
        <v>4.5549999999999997</v>
      </c>
      <c r="BG110" s="6">
        <v>0</v>
      </c>
      <c r="BH110" s="6">
        <v>5.5</v>
      </c>
      <c r="BI110" s="6">
        <v>6.4637500000000001</v>
      </c>
      <c r="BJ110" s="6">
        <v>6.3481249999999996</v>
      </c>
      <c r="BK110" s="6">
        <v>6.0475000000000003</v>
      </c>
      <c r="BL110" s="6">
        <v>8.0987500000000008</v>
      </c>
      <c r="BM110" s="6">
        <v>5.7454549999999998</v>
      </c>
      <c r="BN110" s="6">
        <v>6.085</v>
      </c>
      <c r="BO110" s="6">
        <v>6.5125000000000002</v>
      </c>
      <c r="BP110" s="6">
        <v>5.3650000000000002</v>
      </c>
      <c r="BQ110" s="6">
        <v>4.2625000000000002</v>
      </c>
      <c r="BR110" s="6">
        <v>6.85</v>
      </c>
      <c r="BS110" s="6">
        <v>5.8375000000000004</v>
      </c>
      <c r="BT110" s="6">
        <v>7.5250000000000004</v>
      </c>
    </row>
    <row r="111" spans="1:72">
      <c r="A111" s="7" t="s">
        <v>383</v>
      </c>
      <c r="B111" s="1" t="s">
        <v>120</v>
      </c>
      <c r="C111" s="21">
        <v>0.56538442589544102</v>
      </c>
      <c r="D111" s="21">
        <v>1.3822443660286E-2</v>
      </c>
      <c r="E111" s="10">
        <v>3.4100488039515431E-3</v>
      </c>
      <c r="F111" s="3">
        <v>5.6702138565018934E-2</v>
      </c>
      <c r="G111" s="3">
        <v>8.5907817460318103</v>
      </c>
      <c r="H111" s="1">
        <v>8.6372755214050496</v>
      </c>
      <c r="I111" s="3">
        <f t="shared" si="3"/>
        <v>-4.6493775373239288E-2</v>
      </c>
      <c r="J111">
        <v>4</v>
      </c>
      <c r="K111">
        <v>1</v>
      </c>
      <c r="L111" s="1">
        <v>5.6701146603910998E-2</v>
      </c>
      <c r="M111" s="4">
        <v>17.636327656397398</v>
      </c>
      <c r="N111" s="21">
        <v>7.3200180997808699</v>
      </c>
      <c r="O111" s="21" t="s">
        <v>294</v>
      </c>
      <c r="P111" s="21">
        <v>0.56538442589544102</v>
      </c>
      <c r="Q111" s="21">
        <v>0</v>
      </c>
      <c r="R111" s="21">
        <v>0</v>
      </c>
      <c r="S111" s="21">
        <v>0</v>
      </c>
      <c r="T111">
        <v>0</v>
      </c>
      <c r="U111" s="21">
        <f t="shared" si="5"/>
        <v>8.5907817460318103</v>
      </c>
      <c r="V111" s="5">
        <v>9.0569570000000006</v>
      </c>
      <c r="W111" s="5">
        <v>8.5359759999999998</v>
      </c>
      <c r="X111" s="5">
        <v>8.8080770000000008</v>
      </c>
      <c r="Y111" s="5">
        <v>8.9716670000000001</v>
      </c>
      <c r="Z111" s="5">
        <v>7.1778570000000004</v>
      </c>
      <c r="AA111" s="5">
        <v>8.7986959999999996</v>
      </c>
      <c r="AB111" s="5">
        <v>8.0970119999999994</v>
      </c>
      <c r="AC111" s="5">
        <v>8.865164</v>
      </c>
      <c r="AD111" s="5">
        <v>8.7684999999999995</v>
      </c>
      <c r="AE111" s="5">
        <v>8.671951</v>
      </c>
      <c r="AF111" s="5">
        <v>8.7956730000000007</v>
      </c>
      <c r="AG111" s="5">
        <v>8.3093749999999993</v>
      </c>
      <c r="AH111" s="5">
        <v>8.7540630000000004</v>
      </c>
      <c r="AI111" s="5">
        <v>8.5452340000000007</v>
      </c>
      <c r="AJ111" s="5">
        <v>8.4526789999999998</v>
      </c>
      <c r="AK111" s="5">
        <v>8.2105879999999996</v>
      </c>
      <c r="AL111" s="5">
        <v>8.3744350000000001</v>
      </c>
      <c r="AM111" s="36">
        <v>9.0022330484646005E-3</v>
      </c>
      <c r="AN111" s="36">
        <v>3.6389989841030001E-3</v>
      </c>
      <c r="AO111" s="36">
        <v>3.9415676293417402E-3</v>
      </c>
      <c r="AP111" s="36">
        <v>3.8199096192986898E-3</v>
      </c>
      <c r="AQ111" s="36">
        <v>3.7119490211318701E-3</v>
      </c>
      <c r="AR111" s="36">
        <v>3.3684723940044501E-3</v>
      </c>
      <c r="AS111" s="36">
        <v>3.00966587657943E-3</v>
      </c>
      <c r="AT111" s="36">
        <v>3.2881445849486999E-3</v>
      </c>
      <c r="AU111" s="36">
        <v>2.9271648939789099E-3</v>
      </c>
      <c r="AV111" s="36">
        <v>2.8835792193910698E-3</v>
      </c>
      <c r="AW111" s="36">
        <v>2.8718539329161798E-3</v>
      </c>
      <c r="AX111" s="36">
        <v>3.14744220400306E-3</v>
      </c>
      <c r="AY111" s="36">
        <v>3.0143690344411902E-3</v>
      </c>
      <c r="AZ111" s="36">
        <v>3.28031970370874E-3</v>
      </c>
      <c r="BA111" s="36">
        <v>2.7317385623057298E-3</v>
      </c>
      <c r="BB111" s="36">
        <v>3.27173215929354E-3</v>
      </c>
      <c r="BC111" s="36">
        <v>3.2383972950047399E-3</v>
      </c>
      <c r="BD111" s="6">
        <v>8.8821349999999999</v>
      </c>
      <c r="BE111" s="6">
        <v>8.8208260000000003</v>
      </c>
      <c r="BF111" s="6">
        <v>8.8397889999999997</v>
      </c>
      <c r="BG111" s="6">
        <v>8.9035299999999999</v>
      </c>
      <c r="BH111" s="6">
        <v>8.6712299999999995</v>
      </c>
      <c r="BI111" s="6">
        <v>8.5641320000000007</v>
      </c>
      <c r="BJ111" s="6">
        <v>8.5708420000000007</v>
      </c>
      <c r="BK111" s="6">
        <v>8.6835939999999994</v>
      </c>
      <c r="BL111" s="6">
        <v>8.4772940000000006</v>
      </c>
      <c r="BM111" s="6">
        <v>8.5352519999999998</v>
      </c>
      <c r="BN111" s="6">
        <v>8.6876350000000002</v>
      </c>
      <c r="BO111" s="6">
        <v>8.5767480000000003</v>
      </c>
      <c r="BP111" s="6">
        <v>8.5548380000000002</v>
      </c>
      <c r="BQ111" s="6">
        <v>8.5716619999999999</v>
      </c>
      <c r="BR111" s="6">
        <v>8.6296110000000006</v>
      </c>
      <c r="BS111" s="6">
        <v>8.5455159999999992</v>
      </c>
      <c r="BT111" s="6">
        <v>8.5242459999999998</v>
      </c>
    </row>
    <row r="112" spans="1:72">
      <c r="A112" s="7" t="s">
        <v>385</v>
      </c>
      <c r="B112" s="1" t="s">
        <v>122</v>
      </c>
      <c r="C112" s="21">
        <v>0.32199021381902199</v>
      </c>
      <c r="D112" s="21">
        <v>2.9824261886205398E-2</v>
      </c>
      <c r="E112" s="10">
        <v>1.9420456122021231E-3</v>
      </c>
      <c r="F112" s="3">
        <v>1.7146521320576197E-3</v>
      </c>
      <c r="G112" s="3">
        <v>5.1803448275862101</v>
      </c>
      <c r="H112" s="1">
        <v>4.8374032586558204</v>
      </c>
      <c r="I112" s="3">
        <f t="shared" si="3"/>
        <v>0.34294156893038963</v>
      </c>
      <c r="J112">
        <v>6</v>
      </c>
      <c r="K112">
        <v>4</v>
      </c>
      <c r="L112" s="1">
        <v>7.3813829107552298E-2</v>
      </c>
      <c r="M112" s="4">
        <v>13.5475968675589</v>
      </c>
      <c r="N112" s="21">
        <v>6.4579873767374503</v>
      </c>
      <c r="O112" s="21" t="s">
        <v>294</v>
      </c>
      <c r="P112" s="21">
        <v>0.32199021381902199</v>
      </c>
      <c r="Q112" s="21">
        <v>0</v>
      </c>
      <c r="R112" s="21">
        <v>0</v>
      </c>
      <c r="S112" s="21">
        <v>0</v>
      </c>
      <c r="T112">
        <v>0</v>
      </c>
      <c r="U112" s="21">
        <f t="shared" si="5"/>
        <v>5.1803448275862101</v>
      </c>
      <c r="V112" s="5">
        <v>6.4</v>
      </c>
      <c r="W112" s="5">
        <v>6.4</v>
      </c>
      <c r="X112" s="5">
        <v>8.7249999999999996</v>
      </c>
      <c r="Y112" s="5">
        <v>6.1749999999999998</v>
      </c>
      <c r="Z112" s="5">
        <v>0</v>
      </c>
      <c r="AA112" s="5">
        <v>2.5750000000000002</v>
      </c>
      <c r="AB112" s="5">
        <v>4.915</v>
      </c>
      <c r="AC112" s="5">
        <v>4.5549999999999997</v>
      </c>
      <c r="AD112" s="5">
        <v>0</v>
      </c>
      <c r="AE112" s="5">
        <v>7.3</v>
      </c>
      <c r="AF112" s="5">
        <v>0</v>
      </c>
      <c r="AG112" s="5">
        <v>4.5999999999999996</v>
      </c>
      <c r="AH112" s="5">
        <v>4.8250000000000002</v>
      </c>
      <c r="AI112" s="5">
        <v>4.1500000000000004</v>
      </c>
      <c r="AJ112" s="5">
        <v>2.35</v>
      </c>
      <c r="AK112" s="5">
        <v>3.61</v>
      </c>
      <c r="AL112" s="5">
        <v>0</v>
      </c>
      <c r="AM112" s="36">
        <v>5.1268319595698204E-3</v>
      </c>
      <c r="AN112" s="36">
        <v>2.0724342718191902E-3</v>
      </c>
      <c r="AO112" s="36">
        <v>2.2447491399216401E-3</v>
      </c>
      <c r="AP112" s="36">
        <v>2.1754640891271898E-3</v>
      </c>
      <c r="AQ112" s="36">
        <v>2.1139798060525201E-3</v>
      </c>
      <c r="AR112" s="36">
        <v>1.9183675685285799E-3</v>
      </c>
      <c r="AS112" s="36">
        <v>1.71402485590015E-3</v>
      </c>
      <c r="AT112" s="36">
        <v>1.87262034375755E-3</v>
      </c>
      <c r="AU112" s="36">
        <v>1.66703999425359E-3</v>
      </c>
      <c r="AV112" s="36">
        <v>1.64221766092214E-3</v>
      </c>
      <c r="AW112" s="36">
        <v>1.6355400318149001E-3</v>
      </c>
      <c r="AX112" s="36">
        <v>1.79248939629861E-3</v>
      </c>
      <c r="AY112" s="36">
        <v>1.71670333577362E-3</v>
      </c>
      <c r="AZ112" s="36">
        <v>1.8681640215311901E-3</v>
      </c>
      <c r="BA112" s="36">
        <v>1.5557433906698301E-3</v>
      </c>
      <c r="BB112" s="36">
        <v>1.8632733575231499E-3</v>
      </c>
      <c r="BC112" s="36">
        <v>1.84428892925034E-3</v>
      </c>
      <c r="BD112" s="6">
        <v>4.84</v>
      </c>
      <c r="BE112" s="6">
        <v>4.6805709999999996</v>
      </c>
      <c r="BF112" s="6">
        <v>5.0279590000000001</v>
      </c>
      <c r="BG112" s="6">
        <v>4.7104549999999996</v>
      </c>
      <c r="BH112" s="6">
        <v>4.2120689999999996</v>
      </c>
      <c r="BI112" s="6">
        <v>4.9472129999999996</v>
      </c>
      <c r="BJ112" s="6">
        <v>5.0956590000000004</v>
      </c>
      <c r="BK112" s="6">
        <v>4.7558059999999998</v>
      </c>
      <c r="BL112" s="6">
        <v>4.8395830000000002</v>
      </c>
      <c r="BM112" s="6">
        <v>5.1651850000000001</v>
      </c>
      <c r="BN112" s="6">
        <v>4.5709410000000004</v>
      </c>
      <c r="BO112" s="6">
        <v>5.1531250000000002</v>
      </c>
      <c r="BP112" s="6">
        <v>4.7329309999999998</v>
      </c>
      <c r="BQ112" s="6">
        <v>4.4719230000000003</v>
      </c>
      <c r="BR112" s="6">
        <v>4.2781820000000002</v>
      </c>
      <c r="BS112" s="6">
        <v>4.3212200000000003</v>
      </c>
      <c r="BT112" s="6">
        <v>4.7435140000000002</v>
      </c>
    </row>
    <row r="113" spans="1:72">
      <c r="A113" s="7" t="s">
        <v>386</v>
      </c>
      <c r="B113" s="1" t="s">
        <v>123</v>
      </c>
      <c r="C113" s="21">
        <v>0.20340613931683399</v>
      </c>
      <c r="D113" s="21">
        <v>6.7666482134498898E-2</v>
      </c>
      <c r="E113" s="10">
        <v>1.2268198951451939E-3</v>
      </c>
      <c r="F113" s="3">
        <v>6.8713176845989772E-4</v>
      </c>
      <c r="G113" s="3">
        <v>4.7687499999999998</v>
      </c>
      <c r="H113" s="1">
        <v>4.91785714285714</v>
      </c>
      <c r="I113" s="3">
        <f t="shared" si="3"/>
        <v>-0.14910714285714022</v>
      </c>
      <c r="J113">
        <v>7</v>
      </c>
      <c r="K113">
        <v>4</v>
      </c>
      <c r="L113" s="1">
        <v>0.19541851674533001</v>
      </c>
      <c r="M113" s="4">
        <v>5.1172223423597201</v>
      </c>
      <c r="N113" s="21">
        <v>3.7</v>
      </c>
      <c r="O113" s="21" t="s">
        <v>273</v>
      </c>
      <c r="P113" s="21">
        <v>13.441474164109399</v>
      </c>
      <c r="Q113" s="21">
        <v>1.4813328302545101E-2</v>
      </c>
      <c r="R113" s="21">
        <v>0</v>
      </c>
      <c r="S113" s="21">
        <v>3.8093836803457598E-2</v>
      </c>
      <c r="T113">
        <v>0</v>
      </c>
      <c r="U113" s="21">
        <f t="shared" si="5"/>
        <v>4.7687499999999998</v>
      </c>
      <c r="V113" s="5">
        <v>0</v>
      </c>
      <c r="W113" s="5">
        <v>4.1500000000000004</v>
      </c>
      <c r="X113" s="5">
        <v>0</v>
      </c>
      <c r="Y113" s="5">
        <v>2.8</v>
      </c>
      <c r="Z113" s="5">
        <v>7.75</v>
      </c>
      <c r="AA113" s="5">
        <v>0</v>
      </c>
      <c r="AB113" s="5">
        <v>0</v>
      </c>
      <c r="AC113" s="5">
        <v>0</v>
      </c>
      <c r="AD113" s="5">
        <v>0</v>
      </c>
      <c r="AE113" s="5">
        <v>6.4</v>
      </c>
      <c r="AF113" s="5">
        <v>1.9</v>
      </c>
      <c r="AG113" s="5">
        <v>5.5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36">
        <v>3.23869810654677E-3</v>
      </c>
      <c r="AN113" s="36">
        <v>1.30918840426488E-3</v>
      </c>
      <c r="AO113" s="36">
        <v>1.4180423400783201E-3</v>
      </c>
      <c r="AP113" s="36">
        <v>1.37427391454974E-3</v>
      </c>
      <c r="AQ113" s="36">
        <v>1.33543335321544E-3</v>
      </c>
      <c r="AR113" s="36">
        <v>1.2118621130651501E-3</v>
      </c>
      <c r="AS113" s="36">
        <v>1.08277569835616E-3</v>
      </c>
      <c r="AT113" s="36">
        <v>1.1829628919839701E-3</v>
      </c>
      <c r="AU113" s="36">
        <v>1.0530946431448599E-3</v>
      </c>
      <c r="AV113" s="36">
        <v>1.0374139957987801E-3</v>
      </c>
      <c r="AW113" s="36">
        <v>1.03319563543191E-3</v>
      </c>
      <c r="AX113" s="36">
        <v>1.13234294776546E-3</v>
      </c>
      <c r="AY113" s="36">
        <v>1.0844677350297001E-3</v>
      </c>
      <c r="AZ113" s="36">
        <v>1.18014776512385E-3</v>
      </c>
      <c r="BA113" s="36">
        <v>9.8278687762136299E-4</v>
      </c>
      <c r="BB113" s="36">
        <v>1.1770582579218401E-3</v>
      </c>
      <c r="BC113" s="36">
        <v>1.16506550442691E-3</v>
      </c>
      <c r="BD113" s="6">
        <v>4.5774999999999997</v>
      </c>
      <c r="BE113" s="6">
        <v>6.1749999999999998</v>
      </c>
      <c r="BF113" s="6">
        <v>5.6323530000000002</v>
      </c>
      <c r="BG113" s="6">
        <v>4.4649999999999999</v>
      </c>
      <c r="BH113" s="6">
        <v>5.0635000000000003</v>
      </c>
      <c r="BI113" s="6">
        <v>4.87</v>
      </c>
      <c r="BJ113" s="6">
        <v>4.6630000000000003</v>
      </c>
      <c r="BK113" s="6">
        <v>4.1984620000000001</v>
      </c>
      <c r="BL113" s="6">
        <v>4.4379999999999997</v>
      </c>
      <c r="BM113" s="6">
        <v>5.1174999999999997</v>
      </c>
      <c r="BN113" s="6">
        <v>4.3075000000000001</v>
      </c>
      <c r="BO113" s="6">
        <v>5.0165709999999999</v>
      </c>
      <c r="BP113" s="6">
        <v>4.4671430000000001</v>
      </c>
      <c r="BQ113" s="6">
        <v>6.5575000000000001</v>
      </c>
      <c r="BR113" s="6">
        <v>4.9559090000000001</v>
      </c>
      <c r="BS113" s="6">
        <v>6.76</v>
      </c>
      <c r="BT113" s="6">
        <v>5.23</v>
      </c>
    </row>
    <row r="114" spans="1:72">
      <c r="A114" s="7" t="s">
        <v>448</v>
      </c>
      <c r="B114" s="1" t="s">
        <v>124</v>
      </c>
      <c r="C114" s="21">
        <v>0.22109340753894399</v>
      </c>
      <c r="D114" s="21">
        <v>4.47810587940232E-2</v>
      </c>
      <c r="E114" s="10">
        <v>1.333498546136423E-3</v>
      </c>
      <c r="F114" s="3">
        <v>2.0157930145585094E-3</v>
      </c>
      <c r="G114" s="3">
        <v>4.9079687500000002</v>
      </c>
      <c r="H114" s="1">
        <v>5.1639769820971901</v>
      </c>
      <c r="I114" s="3">
        <f t="shared" si="3"/>
        <v>-0.25600823209718993</v>
      </c>
      <c r="J114">
        <v>7</v>
      </c>
      <c r="K114">
        <v>4</v>
      </c>
      <c r="L114" s="1">
        <v>0.113033348198358</v>
      </c>
      <c r="M114" s="4">
        <v>8.8469466395451501</v>
      </c>
      <c r="N114" s="21">
        <v>6.5947695256461198</v>
      </c>
      <c r="O114" s="21" t="s">
        <v>294</v>
      </c>
      <c r="P114" s="21">
        <v>0.22109340753894399</v>
      </c>
      <c r="Q114" s="21">
        <v>0</v>
      </c>
      <c r="R114" s="21">
        <v>0</v>
      </c>
      <c r="S114" s="21">
        <v>0</v>
      </c>
      <c r="T114">
        <v>0</v>
      </c>
      <c r="U114" s="21">
        <f t="shared" si="5"/>
        <v>4.9079687500000002</v>
      </c>
      <c r="V114" s="5">
        <v>4.45</v>
      </c>
      <c r="W114" s="5">
        <v>0</v>
      </c>
      <c r="X114" s="5">
        <v>3.7</v>
      </c>
      <c r="Y114" s="5">
        <v>3.7</v>
      </c>
      <c r="Z114" s="5">
        <v>5.5</v>
      </c>
      <c r="AA114" s="5">
        <v>8.0649999999999995</v>
      </c>
      <c r="AB114" s="5">
        <v>4.0149999999999997</v>
      </c>
      <c r="AC114" s="5">
        <v>4.7350000000000003</v>
      </c>
      <c r="AD114" s="5">
        <v>3.7</v>
      </c>
      <c r="AE114" s="5">
        <v>3.25</v>
      </c>
      <c r="AF114" s="5">
        <v>5.9859999999999998</v>
      </c>
      <c r="AG114" s="5">
        <v>0</v>
      </c>
      <c r="AH114" s="5">
        <v>3.7</v>
      </c>
      <c r="AI114" s="5">
        <v>6.4</v>
      </c>
      <c r="AJ114" s="5">
        <v>6.4</v>
      </c>
      <c r="AK114" s="5">
        <v>5.3650000000000002</v>
      </c>
      <c r="AL114" s="5">
        <v>5.5</v>
      </c>
      <c r="AM114" s="36">
        <v>3.5203204916592701E-3</v>
      </c>
      <c r="AN114" s="36">
        <v>1.4230294443499201E-3</v>
      </c>
      <c r="AO114" s="36">
        <v>1.54134882091273E-3</v>
      </c>
      <c r="AP114" s="36">
        <v>1.4937744931405701E-3</v>
      </c>
      <c r="AQ114" s="36">
        <v>1.4515565341105901E-3</v>
      </c>
      <c r="AR114" s="36">
        <v>1.3172401036901499E-3</v>
      </c>
      <c r="AS114" s="36">
        <v>1.1769289243380801E-3</v>
      </c>
      <c r="AT114" s="36">
        <v>1.28582793842552E-3</v>
      </c>
      <c r="AU114" s="36">
        <v>1.1446669402206901E-3</v>
      </c>
      <c r="AV114" s="36">
        <v>1.12762277544865E-3</v>
      </c>
      <c r="AW114" s="36">
        <v>1.12303760574399E-3</v>
      </c>
      <c r="AX114" s="36">
        <v>1.23080631521253E-3</v>
      </c>
      <c r="AY114" s="36">
        <v>1.1787680927874201E-3</v>
      </c>
      <c r="AZ114" s="36">
        <v>1.2827680209999801E-3</v>
      </c>
      <c r="BA114" s="36">
        <v>1.0682455327437701E-3</v>
      </c>
      <c r="BB114" s="36">
        <v>1.2794098643720501E-3</v>
      </c>
      <c r="BC114" s="36">
        <v>1.26637427584521E-3</v>
      </c>
      <c r="BD114" s="6">
        <v>5.6574999999999998</v>
      </c>
      <c r="BE114" s="6">
        <v>4.8049999999999997</v>
      </c>
      <c r="BF114" s="6">
        <v>5.14</v>
      </c>
      <c r="BG114" s="6">
        <v>4.2456250000000004</v>
      </c>
      <c r="BH114" s="6">
        <v>4.7687499999999998</v>
      </c>
      <c r="BI114" s="6">
        <v>5.0434780000000003</v>
      </c>
      <c r="BJ114" s="6">
        <v>5.1636899999999999</v>
      </c>
      <c r="BK114" s="6">
        <v>4.7433709999999998</v>
      </c>
      <c r="BL114" s="6">
        <v>5.0839340000000002</v>
      </c>
      <c r="BM114" s="6">
        <v>5.3764000000000003</v>
      </c>
      <c r="BN114" s="6">
        <v>5.1690709999999997</v>
      </c>
      <c r="BO114" s="6">
        <v>4.9625779999999997</v>
      </c>
      <c r="BP114" s="6">
        <v>6.0507140000000001</v>
      </c>
      <c r="BQ114" s="6">
        <v>5.1216670000000004</v>
      </c>
      <c r="BR114" s="6">
        <v>6.75</v>
      </c>
      <c r="BS114" s="6">
        <v>6.1412899999999997</v>
      </c>
      <c r="BT114" s="6">
        <v>5.2090909999999999</v>
      </c>
    </row>
    <row r="115" spans="1:72">
      <c r="A115" s="7" t="s">
        <v>388</v>
      </c>
      <c r="B115" s="1" t="s">
        <v>125</v>
      </c>
      <c r="C115" s="21">
        <v>0.230381893607778</v>
      </c>
      <c r="D115" s="21">
        <v>3.7099318408712702E-2</v>
      </c>
      <c r="E115" s="10">
        <v>1.5455696949489119E-3</v>
      </c>
      <c r="F115" s="3">
        <v>2.1366468063378379E-3</v>
      </c>
      <c r="G115" s="3">
        <v>7.48</v>
      </c>
      <c r="H115" s="1">
        <v>7.5207158351410204</v>
      </c>
      <c r="I115" s="3">
        <f t="shared" si="3"/>
        <v>-4.0715835141019951E-2</v>
      </c>
      <c r="J115">
        <v>7</v>
      </c>
      <c r="K115">
        <v>4</v>
      </c>
      <c r="L115" s="1">
        <v>0.14724462955527701</v>
      </c>
      <c r="M115" s="4">
        <v>6.7914191710780898</v>
      </c>
      <c r="N115" s="21">
        <v>9.5500000000000007</v>
      </c>
      <c r="O115" s="21" t="s">
        <v>273</v>
      </c>
      <c r="P115" s="21">
        <v>32.113503710202501</v>
      </c>
      <c r="Q115" s="21">
        <v>7.3319382730273703E-3</v>
      </c>
      <c r="R115" s="21">
        <v>0</v>
      </c>
      <c r="S115" s="21">
        <v>3.7403176829445502E-2</v>
      </c>
      <c r="T115">
        <v>0</v>
      </c>
      <c r="U115" s="21">
        <f t="shared" si="5"/>
        <v>7.48</v>
      </c>
      <c r="V115" s="5">
        <v>9.5500000000000007</v>
      </c>
      <c r="W115" s="5">
        <v>5.5</v>
      </c>
      <c r="X115" s="5">
        <v>0</v>
      </c>
      <c r="Y115" s="5">
        <v>9.5500000000000007</v>
      </c>
      <c r="Z115" s="5">
        <v>9.5500000000000007</v>
      </c>
      <c r="AA115" s="5">
        <v>0</v>
      </c>
      <c r="AB115" s="5">
        <v>6.13</v>
      </c>
      <c r="AC115" s="5">
        <v>5.5</v>
      </c>
      <c r="AD115" s="5">
        <v>0</v>
      </c>
      <c r="AE115" s="5">
        <v>9.5500000000000007</v>
      </c>
      <c r="AF115" s="5">
        <v>6.13</v>
      </c>
      <c r="AG115" s="5">
        <v>9.5500000000000007</v>
      </c>
      <c r="AH115" s="5">
        <v>3.7</v>
      </c>
      <c r="AI115" s="5">
        <v>6.13</v>
      </c>
      <c r="AJ115" s="5">
        <v>0</v>
      </c>
      <c r="AK115" s="5">
        <v>0</v>
      </c>
      <c r="AL115" s="5">
        <v>9.5500000000000007</v>
      </c>
      <c r="AM115" s="36">
        <v>3.8749740976129999E-3</v>
      </c>
      <c r="AN115" s="36">
        <v>1.5663921083496201E-3</v>
      </c>
      <c r="AO115" s="36">
        <v>1.6966315341385299E-3</v>
      </c>
      <c r="AP115" s="36">
        <v>1.6442643453370501E-3</v>
      </c>
      <c r="AQ115" s="36">
        <v>1.5977931510003701E-3</v>
      </c>
      <c r="AR115" s="36">
        <v>1.44994505307968E-3</v>
      </c>
      <c r="AS115" s="36">
        <v>1.29549826708875E-3</v>
      </c>
      <c r="AT115" s="36">
        <v>1.41536827888007E-3</v>
      </c>
      <c r="AU115" s="36">
        <v>1.2599860592972501E-3</v>
      </c>
      <c r="AV115" s="36">
        <v>1.24122478538381E-3</v>
      </c>
      <c r="AW115" s="36">
        <v>1.2361776841665101E-3</v>
      </c>
      <c r="AX115" s="36">
        <v>1.3548035191475001E-3</v>
      </c>
      <c r="AY115" s="36">
        <v>1.29752272199824E-3</v>
      </c>
      <c r="AZ115" s="36">
        <v>1.4120000910139601E-3</v>
      </c>
      <c r="BA115" s="36">
        <v>1.1758656006123601E-3</v>
      </c>
      <c r="BB115" s="36">
        <v>1.4083036179286901E-3</v>
      </c>
      <c r="BC115" s="36">
        <v>1.3939547630422301E-3</v>
      </c>
      <c r="BD115" s="6">
        <v>7.93</v>
      </c>
      <c r="BE115" s="6">
        <v>7.328125</v>
      </c>
      <c r="BF115" s="6">
        <v>8.5807690000000001</v>
      </c>
      <c r="BG115" s="6">
        <v>7.0374999999999996</v>
      </c>
      <c r="BH115" s="6">
        <v>7.5250000000000004</v>
      </c>
      <c r="BI115" s="6">
        <v>6.4426319999999997</v>
      </c>
      <c r="BJ115" s="6">
        <v>7.3719999999999999</v>
      </c>
      <c r="BK115" s="6">
        <v>6.9752169999999998</v>
      </c>
      <c r="BL115" s="6">
        <v>7.5812499999999998</v>
      </c>
      <c r="BM115" s="6">
        <v>7.3424529999999999</v>
      </c>
      <c r="BN115" s="6">
        <v>7.7469999999999999</v>
      </c>
      <c r="BO115" s="6">
        <v>7.9868420000000002</v>
      </c>
      <c r="BP115" s="6">
        <v>7.3253130000000004</v>
      </c>
      <c r="BQ115" s="6">
        <v>7.4476000000000004</v>
      </c>
      <c r="BR115" s="6">
        <v>7.8562500000000002</v>
      </c>
      <c r="BS115" s="6">
        <v>8.0619999999999994</v>
      </c>
      <c r="BT115" s="6">
        <v>7.8250000000000002</v>
      </c>
    </row>
    <row r="116" spans="1:72">
      <c r="A116" s="7" t="s">
        <v>389</v>
      </c>
      <c r="B116" s="1" t="s">
        <v>126</v>
      </c>
      <c r="C116" s="21">
        <v>0.35739232289675199</v>
      </c>
      <c r="D116" s="21">
        <v>2.43087684187045E-2</v>
      </c>
      <c r="E116" s="10">
        <v>2.5114494168147791E-3</v>
      </c>
      <c r="F116" s="3">
        <v>5.881745517115405E-3</v>
      </c>
      <c r="G116" s="3">
        <v>6.8838135593220402</v>
      </c>
      <c r="H116" s="1">
        <v>7.0729265684410301</v>
      </c>
      <c r="I116" s="3">
        <f t="shared" si="3"/>
        <v>-0.18911300911898987</v>
      </c>
      <c r="J116">
        <v>3</v>
      </c>
      <c r="K116">
        <v>2</v>
      </c>
      <c r="L116" s="1">
        <v>6.6870486162100604E-2</v>
      </c>
      <c r="M116" s="4">
        <v>14.954280391739699</v>
      </c>
      <c r="N116" s="21">
        <v>7.0669431719529001</v>
      </c>
      <c r="O116" s="21" t="s">
        <v>294</v>
      </c>
      <c r="P116" s="21">
        <v>0.35739232289675199</v>
      </c>
      <c r="Q116" s="21">
        <v>0</v>
      </c>
      <c r="R116" s="21">
        <v>0</v>
      </c>
      <c r="S116" s="21">
        <v>0</v>
      </c>
      <c r="T116">
        <v>0</v>
      </c>
      <c r="U116" s="21">
        <f t="shared" si="5"/>
        <v>6.8838135593220402</v>
      </c>
      <c r="V116" s="5">
        <v>7.3</v>
      </c>
      <c r="W116" s="5">
        <v>9.5500000000000007</v>
      </c>
      <c r="X116" s="5">
        <v>6.52</v>
      </c>
      <c r="Y116" s="5">
        <v>9.5500000000000007</v>
      </c>
      <c r="Z116" s="5">
        <v>0</v>
      </c>
      <c r="AA116" s="5">
        <v>7.18</v>
      </c>
      <c r="AB116" s="5">
        <v>5.5</v>
      </c>
      <c r="AC116" s="5">
        <v>7.6375000000000002</v>
      </c>
      <c r="AD116" s="5">
        <v>3.61</v>
      </c>
      <c r="AE116" s="5">
        <v>6.76</v>
      </c>
      <c r="AF116" s="5">
        <v>6.34</v>
      </c>
      <c r="AG116" s="5">
        <v>7.9675000000000002</v>
      </c>
      <c r="AH116" s="5">
        <v>8.9124999999999996</v>
      </c>
      <c r="AI116" s="5">
        <v>7.327</v>
      </c>
      <c r="AJ116" s="5">
        <v>4.5549999999999997</v>
      </c>
      <c r="AK116" s="5">
        <v>5.4279999999999999</v>
      </c>
      <c r="AL116" s="5">
        <v>4.5549999999999997</v>
      </c>
      <c r="AM116" s="36">
        <v>7.5167088932633803E-3</v>
      </c>
      <c r="AN116" s="36">
        <v>3.0385012117686398E-3</v>
      </c>
      <c r="AO116" s="36">
        <v>3.2911407973297601E-3</v>
      </c>
      <c r="AP116" s="36">
        <v>3.1895584631351E-3</v>
      </c>
      <c r="AQ116" s="36">
        <v>3.0994132309473E-3</v>
      </c>
      <c r="AR116" s="36">
        <v>2.8126161880516801E-3</v>
      </c>
      <c r="AS116" s="36">
        <v>2.5130189519026501E-3</v>
      </c>
      <c r="AT116" s="36">
        <v>2.7455438568361802E-3</v>
      </c>
      <c r="AU116" s="36">
        <v>2.4441320583643801E-3</v>
      </c>
      <c r="AV116" s="36">
        <v>2.4077387739393401E-3</v>
      </c>
      <c r="AW116" s="36">
        <v>2.3979483625328102E-3</v>
      </c>
      <c r="AX116" s="36">
        <v>2.6280598023284201E-3</v>
      </c>
      <c r="AY116" s="36">
        <v>2.5169460073716202E-3</v>
      </c>
      <c r="AZ116" s="36">
        <v>2.7390102163395999E-3</v>
      </c>
      <c r="BA116" s="36">
        <v>2.2809544515020202E-3</v>
      </c>
      <c r="BB116" s="36">
        <v>2.7318397652826799E-3</v>
      </c>
      <c r="BC116" s="36">
        <v>2.7040057301598E-3</v>
      </c>
      <c r="BD116" s="6">
        <v>7.3144640000000001</v>
      </c>
      <c r="BE116" s="6">
        <v>7.5328059999999999</v>
      </c>
      <c r="BF116" s="6">
        <v>7.4154999999999998</v>
      </c>
      <c r="BG116" s="6">
        <v>7.4076789999999999</v>
      </c>
      <c r="BH116" s="6">
        <v>7.1238570000000001</v>
      </c>
      <c r="BI116" s="6">
        <v>7.3695830000000004</v>
      </c>
      <c r="BJ116" s="6">
        <v>6.9199700000000002</v>
      </c>
      <c r="BK116" s="6">
        <v>7.0090859999999999</v>
      </c>
      <c r="BL116" s="6">
        <v>7.053299</v>
      </c>
      <c r="BM116" s="6">
        <v>7.1848650000000003</v>
      </c>
      <c r="BN116" s="6">
        <v>7.0519600000000002</v>
      </c>
      <c r="BO116" s="6">
        <v>6.9442719999999998</v>
      </c>
      <c r="BP116" s="6">
        <v>7.0005790000000001</v>
      </c>
      <c r="BQ116" s="6">
        <v>6.9473260000000003</v>
      </c>
      <c r="BR116" s="6">
        <v>6.9763640000000002</v>
      </c>
      <c r="BS116" s="6">
        <v>6.6411879999999996</v>
      </c>
      <c r="BT116" s="6">
        <v>6.9758990000000001</v>
      </c>
    </row>
    <row r="117" spans="1:72">
      <c r="A117" s="7" t="s">
        <v>390</v>
      </c>
      <c r="B117" s="1" t="s">
        <v>127</v>
      </c>
      <c r="C117" s="21">
        <v>0.122589208119461</v>
      </c>
      <c r="D117" s="21">
        <v>1.9045015793852801E-2</v>
      </c>
      <c r="E117" s="10">
        <v>1.4398964699592399E-3</v>
      </c>
      <c r="F117" s="3">
        <v>1.7605401926683088E-2</v>
      </c>
      <c r="G117" s="3">
        <v>5.7099541284403603</v>
      </c>
      <c r="H117" s="1">
        <v>5.2943624728326899</v>
      </c>
      <c r="I117" s="3">
        <f t="shared" si="3"/>
        <v>0.41559165560767042</v>
      </c>
      <c r="J117">
        <v>5</v>
      </c>
      <c r="K117">
        <v>3</v>
      </c>
      <c r="L117" s="1">
        <v>6.9802711485953003E-2</v>
      </c>
      <c r="M117" s="4">
        <v>14.326091045922199</v>
      </c>
      <c r="N117" s="21">
        <v>6.4173193101869996</v>
      </c>
      <c r="O117" s="21" t="s">
        <v>456</v>
      </c>
      <c r="P117" s="21">
        <v>17.200860483121101</v>
      </c>
      <c r="Q117" s="21">
        <v>7.1085692506072003E-3</v>
      </c>
      <c r="R117" s="21">
        <v>0</v>
      </c>
      <c r="S117" s="21">
        <v>1.0374680732861401E-2</v>
      </c>
      <c r="T117">
        <v>0</v>
      </c>
      <c r="U117" s="21">
        <f t="shared" si="5"/>
        <v>5.7099541284403603</v>
      </c>
      <c r="V117" s="5">
        <v>5.6124999999999998</v>
      </c>
      <c r="W117" s="5">
        <v>5.65</v>
      </c>
      <c r="X117" s="5">
        <v>6.3371430000000002</v>
      </c>
      <c r="Y117" s="5">
        <v>4.1500000000000004</v>
      </c>
      <c r="Z117" s="5">
        <v>4.4349999999999996</v>
      </c>
      <c r="AA117" s="5">
        <v>5.0425000000000004</v>
      </c>
      <c r="AB117" s="5">
        <v>3.58</v>
      </c>
      <c r="AC117" s="5">
        <v>7.3</v>
      </c>
      <c r="AD117" s="5">
        <v>5.7069999999999999</v>
      </c>
      <c r="AE117" s="5">
        <v>6.8125</v>
      </c>
      <c r="AF117" s="5">
        <v>6.2050000000000001</v>
      </c>
      <c r="AG117" s="5">
        <v>6.9249999999999998</v>
      </c>
      <c r="AH117" s="5">
        <v>4.1950000000000003</v>
      </c>
      <c r="AI117" s="5">
        <v>5.5149999999999997</v>
      </c>
      <c r="AJ117" s="5">
        <v>4</v>
      </c>
      <c r="AK117" s="5">
        <v>6.8949999999999996</v>
      </c>
      <c r="AL117" s="5">
        <v>5.3312499999999998</v>
      </c>
      <c r="AM117" s="36">
        <v>3.6521545350418098E-3</v>
      </c>
      <c r="AN117" s="36">
        <v>1.47632110513635E-3</v>
      </c>
      <c r="AO117" s="36">
        <v>1.59907147650767E-3</v>
      </c>
      <c r="AP117" s="36">
        <v>1.5497155166351701E-3</v>
      </c>
      <c r="AQ117" s="36">
        <v>1.50591651853347E-3</v>
      </c>
      <c r="AR117" s="36">
        <v>1.3665700125398E-3</v>
      </c>
      <c r="AS117" s="36">
        <v>1.2210042576030499E-3</v>
      </c>
      <c r="AT117" s="36">
        <v>1.3339814791666299E-3</v>
      </c>
      <c r="AU117" s="36">
        <v>1.18753408013399E-3</v>
      </c>
      <c r="AV117" s="36">
        <v>1.1698516208761801E-3</v>
      </c>
      <c r="AW117" s="36">
        <v>1.16509473911768E-3</v>
      </c>
      <c r="AX117" s="36">
        <v>1.2768993267834E-3</v>
      </c>
      <c r="AY117" s="36">
        <v>1.2229123018873201E-3</v>
      </c>
      <c r="AZ117" s="36">
        <v>1.3308069695363201E-3</v>
      </c>
      <c r="BA117" s="36">
        <v>1.1082507334749601E-3</v>
      </c>
      <c r="BB117" s="36">
        <v>1.3273230518114599E-3</v>
      </c>
      <c r="BC117" s="36">
        <v>1.31379928774849E-3</v>
      </c>
      <c r="BD117" s="6">
        <v>5.3481430000000003</v>
      </c>
      <c r="BE117" s="6">
        <v>5.2978139999999998</v>
      </c>
      <c r="BF117" s="6">
        <v>5.3563700000000001</v>
      </c>
      <c r="BG117" s="6">
        <v>5.3065699999999998</v>
      </c>
      <c r="BH117" s="6">
        <v>5.1029010000000001</v>
      </c>
      <c r="BI117" s="6">
        <v>5.1811619999999996</v>
      </c>
      <c r="BJ117" s="6">
        <v>5.2688899999999999</v>
      </c>
      <c r="BK117" s="6">
        <v>5.2808250000000001</v>
      </c>
      <c r="BL117" s="6">
        <v>5.1971999999999996</v>
      </c>
      <c r="BM117" s="6">
        <v>5.1917669999999996</v>
      </c>
      <c r="BN117" s="6">
        <v>5.5382040000000003</v>
      </c>
      <c r="BO117" s="6">
        <v>5.3595899999999999</v>
      </c>
      <c r="BP117" s="6">
        <v>5.1168430000000003</v>
      </c>
      <c r="BQ117" s="6">
        <v>5.3536590000000004</v>
      </c>
      <c r="BR117" s="6">
        <v>5.6409399999999996</v>
      </c>
      <c r="BS117" s="6">
        <v>5.0243200000000003</v>
      </c>
      <c r="BT117" s="6">
        <v>5.3162060000000002</v>
      </c>
    </row>
    <row r="118" spans="1:72">
      <c r="A118" s="7" t="s">
        <v>391</v>
      </c>
      <c r="B118" s="1" t="s">
        <v>128</v>
      </c>
      <c r="C118" s="21">
        <v>0.51551972172843996</v>
      </c>
      <c r="D118" s="21">
        <v>9.8233165127340292E-3</v>
      </c>
      <c r="E118" s="10">
        <v>3.1092957817317091E-3</v>
      </c>
      <c r="F118" s="3">
        <v>3.0096290215947764E-2</v>
      </c>
      <c r="G118" s="3">
        <v>6.8628832752613098</v>
      </c>
      <c r="H118" s="1">
        <v>6.7640682101021703</v>
      </c>
      <c r="I118" s="3">
        <f t="shared" si="3"/>
        <v>9.8815065159139515E-2</v>
      </c>
      <c r="J118">
        <v>1</v>
      </c>
      <c r="K118">
        <v>2</v>
      </c>
      <c r="L118" s="1">
        <v>3.8011041818364101E-2</v>
      </c>
      <c r="M118" s="4">
        <v>26.308145006351101</v>
      </c>
      <c r="N118" s="21">
        <v>6.82260987491766</v>
      </c>
      <c r="O118" s="21" t="s">
        <v>294</v>
      </c>
      <c r="P118" s="21">
        <v>0.51551972172843996</v>
      </c>
      <c r="Q118" s="21">
        <v>0</v>
      </c>
      <c r="R118" s="21">
        <v>0</v>
      </c>
      <c r="S118" s="21">
        <v>0</v>
      </c>
      <c r="T118">
        <v>0</v>
      </c>
      <c r="U118" s="21">
        <f t="shared" si="5"/>
        <v>6.8628832752613098</v>
      </c>
      <c r="V118" s="5">
        <v>7.6825000000000001</v>
      </c>
      <c r="W118" s="5">
        <v>7.8310000000000004</v>
      </c>
      <c r="X118" s="5">
        <v>5.9972500000000002</v>
      </c>
      <c r="Y118" s="5">
        <v>6.9259380000000004</v>
      </c>
      <c r="Z118" s="5">
        <v>4.86625</v>
      </c>
      <c r="AA118" s="5">
        <v>4.96</v>
      </c>
      <c r="AB118" s="5">
        <v>6.514545</v>
      </c>
      <c r="AC118" s="5">
        <v>6.0175000000000001</v>
      </c>
      <c r="AD118" s="5">
        <v>7.1464290000000004</v>
      </c>
      <c r="AE118" s="5">
        <v>7.1109999999999998</v>
      </c>
      <c r="AF118" s="5">
        <v>6.7208699999999997</v>
      </c>
      <c r="AG118" s="5">
        <v>6.9145649999999996</v>
      </c>
      <c r="AH118" s="5">
        <v>6.1946880000000002</v>
      </c>
      <c r="AI118" s="5">
        <v>8.4879999999999995</v>
      </c>
      <c r="AJ118" s="5">
        <v>7.9484620000000001</v>
      </c>
      <c r="AK118" s="5">
        <v>5.8075000000000001</v>
      </c>
      <c r="AL118" s="5">
        <v>6.7839999999999998</v>
      </c>
      <c r="AM118" s="36">
        <v>8.2082711576800405E-3</v>
      </c>
      <c r="AN118" s="36">
        <v>3.3180534477647299E-3</v>
      </c>
      <c r="AO118" s="36">
        <v>3.59393671701148E-3</v>
      </c>
      <c r="AP118" s="36">
        <v>3.4830084695909799E-3</v>
      </c>
      <c r="AQ118" s="36">
        <v>3.3845695756712299E-3</v>
      </c>
      <c r="AR118" s="36">
        <v>3.0713862492000202E-3</v>
      </c>
      <c r="AS118" s="36">
        <v>2.74422506904486E-3</v>
      </c>
      <c r="AT118" s="36">
        <v>2.9981430400226701E-3</v>
      </c>
      <c r="AU118" s="36">
        <v>2.66900035176479E-3</v>
      </c>
      <c r="AV118" s="36">
        <v>2.6292587639075E-3</v>
      </c>
      <c r="AW118" s="36">
        <v>2.61856760202919E-3</v>
      </c>
      <c r="AX118" s="36">
        <v>2.86985006103453E-3</v>
      </c>
      <c r="AY118" s="36">
        <v>2.7485134267022202E-3</v>
      </c>
      <c r="AZ118" s="36">
        <v>2.9910082828298202E-3</v>
      </c>
      <c r="BA118" s="36">
        <v>2.4908098613510999E-3</v>
      </c>
      <c r="BB118" s="36">
        <v>2.9831781263831799E-3</v>
      </c>
      <c r="BC118" s="36">
        <v>2.9527832672839099E-3</v>
      </c>
      <c r="BD118" s="6">
        <v>7.1854500000000003</v>
      </c>
      <c r="BE118" s="6">
        <v>7.2659459999999996</v>
      </c>
      <c r="BF118" s="6">
        <v>7.2035859999999996</v>
      </c>
      <c r="BG118" s="6">
        <v>7.15604</v>
      </c>
      <c r="BH118" s="6">
        <v>7.0831039999999996</v>
      </c>
      <c r="BI118" s="6">
        <v>6.7409889999999999</v>
      </c>
      <c r="BJ118" s="6">
        <v>6.6010119999999999</v>
      </c>
      <c r="BK118" s="6">
        <v>6.5550119999999996</v>
      </c>
      <c r="BL118" s="6">
        <v>6.5686090000000004</v>
      </c>
      <c r="BM118" s="6">
        <v>6.5902159999999999</v>
      </c>
      <c r="BN118" s="6">
        <v>6.6607190000000003</v>
      </c>
      <c r="BO118" s="6">
        <v>6.5441859999999998</v>
      </c>
      <c r="BP118" s="6">
        <v>6.6639989999999996</v>
      </c>
      <c r="BQ118" s="6">
        <v>6.8536000000000001</v>
      </c>
      <c r="BR118" s="6">
        <v>6.8949740000000004</v>
      </c>
      <c r="BS118" s="6">
        <v>6.7468219999999999</v>
      </c>
      <c r="BT118" s="6">
        <v>6.685988</v>
      </c>
    </row>
    <row r="119" spans="1:72">
      <c r="A119" s="7" t="s">
        <v>392</v>
      </c>
      <c r="B119" s="1" t="s">
        <v>129</v>
      </c>
      <c r="C119" s="21">
        <v>0.30511363728724</v>
      </c>
      <c r="D119" s="21">
        <v>1.69449318180354E-2</v>
      </c>
      <c r="E119" s="10">
        <v>2.7893597351147138E-3</v>
      </c>
      <c r="F119" s="3">
        <v>3.9497126515305554E-3</v>
      </c>
      <c r="G119" s="3">
        <v>5.58</v>
      </c>
      <c r="H119" s="1">
        <v>5.7929481641468499</v>
      </c>
      <c r="I119" s="3">
        <f t="shared" si="3"/>
        <v>-0.21294816414684981</v>
      </c>
      <c r="J119">
        <v>3</v>
      </c>
      <c r="K119">
        <v>2</v>
      </c>
      <c r="L119" s="1">
        <v>8.1074890042992107E-2</v>
      </c>
      <c r="M119" s="4">
        <v>12.334275130928001</v>
      </c>
      <c r="N119" s="21">
        <v>6.8975860240613098</v>
      </c>
      <c r="O119" s="21" t="s">
        <v>294</v>
      </c>
      <c r="P119" s="21">
        <v>0.30511363728724</v>
      </c>
      <c r="Q119" s="21">
        <v>0</v>
      </c>
      <c r="R119" s="21">
        <v>0</v>
      </c>
      <c r="S119" s="21">
        <v>0</v>
      </c>
      <c r="T119">
        <v>0</v>
      </c>
      <c r="U119" s="21">
        <f t="shared" si="5"/>
        <v>5.58</v>
      </c>
      <c r="V119" s="5">
        <v>5.05</v>
      </c>
      <c r="W119" s="5">
        <v>4.8849999999999998</v>
      </c>
      <c r="X119" s="5">
        <v>5.8449999999999998</v>
      </c>
      <c r="Y119" s="5">
        <v>4.87</v>
      </c>
      <c r="Z119" s="5">
        <v>4.3</v>
      </c>
      <c r="AA119" s="5">
        <v>6.5620000000000003</v>
      </c>
      <c r="AB119" s="5">
        <v>5.8973079999999998</v>
      </c>
      <c r="AC119" s="5">
        <v>4.6835709999999997</v>
      </c>
      <c r="AD119" s="5">
        <v>4.2249999999999996</v>
      </c>
      <c r="AE119" s="5">
        <v>4.8025000000000002</v>
      </c>
      <c r="AF119" s="5">
        <v>5.8335290000000004</v>
      </c>
      <c r="AG119" s="5">
        <v>5.0949999999999998</v>
      </c>
      <c r="AH119" s="5">
        <v>7.19</v>
      </c>
      <c r="AI119" s="5">
        <v>7.3</v>
      </c>
      <c r="AJ119" s="5">
        <v>4.1500000000000004</v>
      </c>
      <c r="AK119" s="5">
        <v>4.67</v>
      </c>
      <c r="AL119" s="5">
        <v>7.1585710000000002</v>
      </c>
      <c r="AM119" s="36">
        <v>6.5764918263549899E-3</v>
      </c>
      <c r="AN119" s="36">
        <v>2.6584345179943101E-3</v>
      </c>
      <c r="AO119" s="36">
        <v>2.87947303272853E-3</v>
      </c>
      <c r="AP119" s="36">
        <v>2.7905969833803999E-3</v>
      </c>
      <c r="AQ119" s="36">
        <v>2.7117274420576901E-3</v>
      </c>
      <c r="AR119" s="36">
        <v>2.4608040079845501E-3</v>
      </c>
      <c r="AS119" s="36">
        <v>2.19868147501025E-3</v>
      </c>
      <c r="AT119" s="36">
        <v>2.4021213259388702E-3</v>
      </c>
      <c r="AU119" s="36">
        <v>2.1384112026436499E-3</v>
      </c>
      <c r="AV119" s="36">
        <v>2.1065701215330001E-3</v>
      </c>
      <c r="AW119" s="36">
        <v>2.0980043301067298E-3</v>
      </c>
      <c r="AX119" s="36">
        <v>2.2993326008241099E-3</v>
      </c>
      <c r="AY119" s="36">
        <v>2.20211732021326E-3</v>
      </c>
      <c r="AZ119" s="36">
        <v>2.39640493676746E-3</v>
      </c>
      <c r="BA119" s="36">
        <v>1.9956444395545199E-3</v>
      </c>
      <c r="BB119" s="36">
        <v>2.3901313915980602E-3</v>
      </c>
      <c r="BC119" s="36">
        <v>2.3657789380070798E-3</v>
      </c>
      <c r="BD119" s="6">
        <v>5.8315789999999996</v>
      </c>
      <c r="BE119" s="6">
        <v>6.1813640000000003</v>
      </c>
      <c r="BF119" s="6">
        <v>5.6850649999999998</v>
      </c>
      <c r="BG119" s="6">
        <v>5.9415630000000004</v>
      </c>
      <c r="BH119" s="6">
        <v>5.5617260000000002</v>
      </c>
      <c r="BI119" s="6">
        <v>5.5568929999999996</v>
      </c>
      <c r="BJ119" s="6">
        <v>5.9056579999999999</v>
      </c>
      <c r="BK119" s="6">
        <v>5.8870469999999999</v>
      </c>
      <c r="BL119" s="6">
        <v>5.663602</v>
      </c>
      <c r="BM119" s="6">
        <v>5.7865000000000002</v>
      </c>
      <c r="BN119" s="6">
        <v>5.7581129999999998</v>
      </c>
      <c r="BO119" s="6">
        <v>5.9378760000000002</v>
      </c>
      <c r="BP119" s="6">
        <v>5.7830219999999999</v>
      </c>
      <c r="BQ119" s="6">
        <v>5.8624999999999998</v>
      </c>
      <c r="BR119" s="6">
        <v>5.7672369999999997</v>
      </c>
      <c r="BS119" s="6">
        <v>5.2403599999999999</v>
      </c>
      <c r="BT119" s="6">
        <v>5.698385</v>
      </c>
    </row>
  </sheetData>
  <autoFilter ref="A1:BT119" xr:uid="{00000000-0001-0000-0800-000000000000}"/>
  <phoneticPr fontId="16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E732"/>
  <sheetViews>
    <sheetView zoomScale="115" zoomScaleNormal="115" workbookViewId="0">
      <selection activeCell="E11" sqref="E11"/>
    </sheetView>
  </sheetViews>
  <sheetFormatPr defaultColWidth="8.7265625" defaultRowHeight="14"/>
  <cols>
    <col min="2" max="2" width="13.54296875" customWidth="1"/>
    <col min="3" max="5" width="12.81640625"/>
  </cols>
  <sheetData>
    <row r="1" spans="1:5">
      <c r="B1" s="6" t="s">
        <v>130</v>
      </c>
      <c r="C1" s="6" t="s">
        <v>131</v>
      </c>
      <c r="D1" s="6" t="s">
        <v>132</v>
      </c>
      <c r="E1" s="6" t="s">
        <v>133</v>
      </c>
    </row>
    <row r="2" spans="1:5" hidden="1">
      <c r="B2" s="11" t="s">
        <v>134</v>
      </c>
      <c r="D2" s="11" t="s">
        <v>134</v>
      </c>
    </row>
    <row r="3" spans="1:5" hidden="1">
      <c r="A3" s="12" t="s">
        <v>135</v>
      </c>
      <c r="B3" s="13">
        <v>7.4802966984327097E+22</v>
      </c>
      <c r="D3" s="14">
        <v>7.4759350845486702E+31</v>
      </c>
    </row>
    <row r="4" spans="1:5" hidden="1">
      <c r="A4" s="12" t="s">
        <v>136</v>
      </c>
      <c r="B4" s="13">
        <v>7.2804571163222699E+23</v>
      </c>
      <c r="D4" s="14">
        <v>1.1320997679791E+33</v>
      </c>
    </row>
    <row r="5" spans="1:5">
      <c r="A5" t="s">
        <v>137</v>
      </c>
      <c r="B5" s="11">
        <v>9.3171937597537502E-2</v>
      </c>
      <c r="C5">
        <f>1/B5</f>
        <v>10.732845380114</v>
      </c>
      <c r="D5" s="11">
        <v>6.1945383416664203E-2</v>
      </c>
      <c r="E5">
        <f>1/D5</f>
        <v>16.143253053640564</v>
      </c>
    </row>
    <row r="6" spans="1:5" hidden="1">
      <c r="A6" t="s">
        <v>138</v>
      </c>
      <c r="B6" s="11">
        <v>1.14768093306305E-2</v>
      </c>
      <c r="D6" s="11">
        <v>8.6276942850600901E-3</v>
      </c>
    </row>
    <row r="7" spans="1:5" hidden="1"/>
    <row r="8" spans="1:5" hidden="1">
      <c r="B8" s="11" t="s">
        <v>139</v>
      </c>
      <c r="D8" s="11" t="s">
        <v>139</v>
      </c>
    </row>
    <row r="9" spans="1:5" hidden="1">
      <c r="A9" s="12" t="s">
        <v>135</v>
      </c>
      <c r="B9" s="14">
        <v>9.7841586620679995E+19</v>
      </c>
      <c r="D9" s="14">
        <v>4.1565128097488601E+19</v>
      </c>
    </row>
    <row r="10" spans="1:5" hidden="1">
      <c r="A10" s="12" t="s">
        <v>136</v>
      </c>
      <c r="B10" s="14">
        <v>8.2110153719202906E+20</v>
      </c>
      <c r="D10" s="14">
        <v>5.2873331174619598E+20</v>
      </c>
    </row>
    <row r="11" spans="1:5">
      <c r="A11" t="s">
        <v>137</v>
      </c>
      <c r="B11" s="11">
        <v>0.10647186325823201</v>
      </c>
      <c r="C11">
        <f>1/B11</f>
        <v>9.3921527190206593</v>
      </c>
      <c r="D11" s="11">
        <v>7.2883117318155902E-2</v>
      </c>
      <c r="E11">
        <f>1/D11</f>
        <v>13.7205986351367</v>
      </c>
    </row>
    <row r="12" spans="1:5" hidden="1">
      <c r="A12" t="s">
        <v>138</v>
      </c>
      <c r="B12" s="11">
        <v>2.8940666532582999E-2</v>
      </c>
      <c r="D12" s="11">
        <v>8.5271886040991698E-3</v>
      </c>
    </row>
    <row r="13" spans="1:5" hidden="1"/>
    <row r="14" spans="1:5" hidden="1">
      <c r="B14" s="11" t="s">
        <v>140</v>
      </c>
      <c r="D14" s="11" t="s">
        <v>140</v>
      </c>
    </row>
    <row r="15" spans="1:5" hidden="1">
      <c r="A15" s="12" t="s">
        <v>135</v>
      </c>
      <c r="B15" s="11">
        <v>1018959394582300</v>
      </c>
      <c r="D15" s="14">
        <v>4.33386447095923E+18</v>
      </c>
    </row>
    <row r="16" spans="1:5" hidden="1">
      <c r="A16" s="12" t="s">
        <v>136</v>
      </c>
      <c r="B16" s="11">
        <v>2820842798198530</v>
      </c>
      <c r="D16" s="14">
        <v>4.5193005705869902E+19</v>
      </c>
    </row>
    <row r="17" spans="1:5">
      <c r="A17" t="s">
        <v>137</v>
      </c>
      <c r="B17" s="11">
        <v>0.26536767870439698</v>
      </c>
      <c r="C17">
        <f>1/B17</f>
        <v>3.76835643618052</v>
      </c>
      <c r="D17" s="11">
        <v>8.7505316921617296E-2</v>
      </c>
      <c r="E17">
        <f>1/D17</f>
        <v>11.4278770156989</v>
      </c>
    </row>
    <row r="18" spans="1:5" hidden="1">
      <c r="A18" t="s">
        <v>138</v>
      </c>
      <c r="B18" s="11">
        <v>0.18118738185112301</v>
      </c>
      <c r="D18" s="11">
        <v>1.4526001549191E-2</v>
      </c>
    </row>
    <row r="19" spans="1:5" hidden="1"/>
    <row r="20" spans="1:5" hidden="1">
      <c r="B20" s="11" t="s">
        <v>141</v>
      </c>
      <c r="D20" s="11" t="s">
        <v>141</v>
      </c>
    </row>
    <row r="21" spans="1:5" hidden="1">
      <c r="A21" s="12" t="s">
        <v>135</v>
      </c>
      <c r="B21" s="14">
        <v>1.3859062567556199E+20</v>
      </c>
      <c r="D21" s="14">
        <v>5.9498433358574199E+19</v>
      </c>
    </row>
    <row r="22" spans="1:5" hidden="1">
      <c r="A22" s="12" t="s">
        <v>136</v>
      </c>
      <c r="B22" s="14">
        <v>1.21145864048435E+21</v>
      </c>
      <c r="D22" s="14">
        <v>1.6061567227491199E+21</v>
      </c>
    </row>
    <row r="23" spans="1:5">
      <c r="A23" t="s">
        <v>137</v>
      </c>
      <c r="B23" s="11">
        <v>0.102655976451711</v>
      </c>
      <c r="C23">
        <f>1/B23</f>
        <v>9.7412740550024992</v>
      </c>
      <c r="D23" s="11">
        <v>3.5720739158044003E-2</v>
      </c>
      <c r="E23">
        <f>1/D23</f>
        <v>27.9949414141619</v>
      </c>
    </row>
    <row r="24" spans="1:5" hidden="1">
      <c r="A24" t="s">
        <v>138</v>
      </c>
      <c r="B24" s="11">
        <v>1.23975782163032E-2</v>
      </c>
      <c r="D24" s="11">
        <v>4.0316227199894599E-3</v>
      </c>
    </row>
    <row r="25" spans="1:5" hidden="1"/>
    <row r="26" spans="1:5" hidden="1">
      <c r="B26" s="11" t="s">
        <v>142</v>
      </c>
      <c r="D26" s="11" t="s">
        <v>142</v>
      </c>
    </row>
    <row r="27" spans="1:5" hidden="1">
      <c r="A27" s="12" t="s">
        <v>135</v>
      </c>
      <c r="B27" s="14">
        <v>4.76694577223958E+16</v>
      </c>
      <c r="D27" s="14">
        <v>2.05402591189524E+21</v>
      </c>
    </row>
    <row r="28" spans="1:5" hidden="1">
      <c r="A28" s="12" t="s">
        <v>136</v>
      </c>
      <c r="B28" s="14">
        <v>6.3427308977033203E+17</v>
      </c>
      <c r="D28" s="14">
        <v>1.8902719970880799E+22</v>
      </c>
    </row>
    <row r="29" spans="1:5">
      <c r="A29" t="s">
        <v>137</v>
      </c>
      <c r="B29" s="11">
        <v>6.9902454242898093E-2</v>
      </c>
      <c r="C29">
        <f>1/B29</f>
        <v>14.3056493628276</v>
      </c>
      <c r="D29" s="11">
        <v>9.8012636283546395E-2</v>
      </c>
      <c r="E29">
        <f>1/D29</f>
        <v>10.202766070969099</v>
      </c>
    </row>
    <row r="30" spans="1:5" hidden="1">
      <c r="A30" t="s">
        <v>138</v>
      </c>
      <c r="B30" s="11">
        <v>2.1760490877095501E-2</v>
      </c>
      <c r="D30" s="11">
        <v>1.8522102534274301E-2</v>
      </c>
    </row>
    <row r="31" spans="1:5" hidden="1"/>
    <row r="32" spans="1:5" hidden="1">
      <c r="B32" s="11" t="s">
        <v>143</v>
      </c>
      <c r="D32" s="11" t="s">
        <v>143</v>
      </c>
    </row>
    <row r="33" spans="1:5" hidden="1">
      <c r="A33" s="12" t="s">
        <v>135</v>
      </c>
      <c r="B33" s="14">
        <v>1.39547388219544E+17</v>
      </c>
      <c r="D33" s="14">
        <v>1.5848442400089399E+19</v>
      </c>
    </row>
    <row r="34" spans="1:5" hidden="1">
      <c r="A34" s="12" t="s">
        <v>136</v>
      </c>
      <c r="B34" s="14">
        <v>4.7983911266849101E+17</v>
      </c>
      <c r="D34" s="14">
        <v>1.2183519587087499E+20</v>
      </c>
    </row>
    <row r="35" spans="1:5">
      <c r="A35" t="s">
        <v>137</v>
      </c>
      <c r="B35" s="11">
        <v>0.22529936964959699</v>
      </c>
      <c r="C35">
        <f>1/B35</f>
        <v>4.4385388274955098</v>
      </c>
      <c r="D35" s="11">
        <v>0.115107667106379</v>
      </c>
      <c r="E35">
        <f>1/D35</f>
        <v>8.6875186087806906</v>
      </c>
    </row>
    <row r="36" spans="1:5" hidden="1">
      <c r="A36" t="s">
        <v>138</v>
      </c>
      <c r="B36" s="11">
        <v>6.9452894407564303E-2</v>
      </c>
      <c r="D36" s="11">
        <v>1.4954813435416801E-2</v>
      </c>
    </row>
    <row r="37" spans="1:5" hidden="1"/>
    <row r="38" spans="1:5" hidden="1">
      <c r="B38" s="11" t="s">
        <v>144</v>
      </c>
      <c r="D38" s="11" t="s">
        <v>144</v>
      </c>
    </row>
    <row r="39" spans="1:5" hidden="1">
      <c r="A39" s="12" t="s">
        <v>135</v>
      </c>
      <c r="B39" s="14">
        <v>3.61728364019579E+19</v>
      </c>
      <c r="D39" s="14">
        <v>6.9362186517060701E+20</v>
      </c>
    </row>
    <row r="40" spans="1:5" hidden="1">
      <c r="A40" s="12" t="s">
        <v>136</v>
      </c>
      <c r="B40" s="14">
        <v>3.8323901522770002E+20</v>
      </c>
      <c r="D40" s="14">
        <v>7.4454390411936599E+21</v>
      </c>
    </row>
    <row r="41" spans="1:5">
      <c r="A41" t="s">
        <v>137</v>
      </c>
      <c r="B41" s="11">
        <v>8.6246576632027602E-2</v>
      </c>
      <c r="C41">
        <f>1/B41</f>
        <v>11.594663104908101</v>
      </c>
      <c r="D41" s="11">
        <v>8.5221363146236601E-2</v>
      </c>
      <c r="E41">
        <f>1/D41</f>
        <v>11.7341469683375</v>
      </c>
    </row>
    <row r="42" spans="1:5" hidden="1">
      <c r="A42" t="s">
        <v>138</v>
      </c>
      <c r="B42" s="11">
        <v>1.9860624504686099E-2</v>
      </c>
      <c r="D42" s="11">
        <v>9.5288082550648301E-3</v>
      </c>
    </row>
    <row r="43" spans="1:5" hidden="1"/>
    <row r="44" spans="1:5" hidden="1">
      <c r="B44" s="11" t="s">
        <v>145</v>
      </c>
      <c r="D44" s="11" t="s">
        <v>145</v>
      </c>
    </row>
    <row r="45" spans="1:5" hidden="1">
      <c r="A45" s="12" t="s">
        <v>135</v>
      </c>
      <c r="B45" s="14">
        <v>7.6212672901255808E+16</v>
      </c>
      <c r="D45" s="14">
        <v>1.7566851269406999E+18</v>
      </c>
    </row>
    <row r="46" spans="1:5" hidden="1">
      <c r="A46" s="12" t="s">
        <v>136</v>
      </c>
      <c r="B46" s="14">
        <v>1.54250897006558E+18</v>
      </c>
      <c r="D46" s="14">
        <v>3.6739534765827699E+19</v>
      </c>
    </row>
    <row r="47" spans="1:5">
      <c r="A47" t="s">
        <v>137</v>
      </c>
      <c r="B47" s="11">
        <v>4.7082012668695099E-2</v>
      </c>
      <c r="C47">
        <f>1/B47</f>
        <v>21.239533811707702</v>
      </c>
      <c r="D47" s="11">
        <v>4.5632665540511798E-2</v>
      </c>
      <c r="E47">
        <f>1/D47</f>
        <v>21.9141263863322</v>
      </c>
    </row>
    <row r="48" spans="1:5" hidden="1">
      <c r="A48" t="s">
        <v>138</v>
      </c>
      <c r="B48" s="11">
        <v>4.3858485258638502E-3</v>
      </c>
      <c r="D48" s="11">
        <v>3.2063194858666499E-3</v>
      </c>
    </row>
    <row r="49" spans="1:5" hidden="1"/>
    <row r="50" spans="1:5" hidden="1">
      <c r="B50" s="11" t="s">
        <v>146</v>
      </c>
      <c r="D50" s="11" t="s">
        <v>146</v>
      </c>
    </row>
    <row r="51" spans="1:5" hidden="1">
      <c r="A51" s="12" t="s">
        <v>135</v>
      </c>
      <c r="B51" s="14">
        <v>5.8401941098262102E+20</v>
      </c>
      <c r="D51" s="14">
        <v>4.9010477270212102E+21</v>
      </c>
    </row>
    <row r="52" spans="1:5" hidden="1">
      <c r="A52" s="12" t="s">
        <v>136</v>
      </c>
      <c r="B52" s="14">
        <v>3.6637697527710498E+21</v>
      </c>
      <c r="D52" s="14">
        <v>1.70533891085159E+22</v>
      </c>
    </row>
    <row r="53" spans="1:5">
      <c r="A53" t="s">
        <v>137</v>
      </c>
      <c r="B53" s="11">
        <v>0.13748785273196901</v>
      </c>
      <c r="C53">
        <f>1/B53</f>
        <v>7.2733698296204299</v>
      </c>
      <c r="D53" s="11">
        <v>0.223237232807903</v>
      </c>
      <c r="E53">
        <f>1/D53</f>
        <v>4.4795394899940604</v>
      </c>
    </row>
    <row r="54" spans="1:5" hidden="1">
      <c r="A54" t="s">
        <v>138</v>
      </c>
      <c r="B54" s="11">
        <v>1.9293941557329899E-2</v>
      </c>
      <c r="D54" s="11">
        <v>9.2299711044696905E-2</v>
      </c>
    </row>
    <row r="55" spans="1:5" hidden="1"/>
    <row r="56" spans="1:5" hidden="1">
      <c r="B56" s="11" t="s">
        <v>147</v>
      </c>
      <c r="D56" s="11" t="s">
        <v>147</v>
      </c>
    </row>
    <row r="57" spans="1:5" hidden="1">
      <c r="A57" s="12" t="s">
        <v>135</v>
      </c>
      <c r="B57" s="14">
        <v>5.28071580245277E+19</v>
      </c>
      <c r="D57" s="14">
        <v>1.6573814033383099E+21</v>
      </c>
    </row>
    <row r="58" spans="1:5" hidden="1">
      <c r="A58" s="12" t="s">
        <v>136</v>
      </c>
      <c r="B58" s="14">
        <v>2.88250923203889E+20</v>
      </c>
      <c r="D58" s="14">
        <v>1.5391749088581899E+22</v>
      </c>
    </row>
    <row r="59" spans="1:5">
      <c r="A59" t="s">
        <v>137</v>
      </c>
      <c r="B59" s="11">
        <v>0.15483332878179501</v>
      </c>
      <c r="C59">
        <f>1/B59</f>
        <v>6.4585577786633399</v>
      </c>
      <c r="D59" s="11">
        <v>9.7212078007365796E-2</v>
      </c>
      <c r="E59">
        <f>1/D59</f>
        <v>10.2867876142328</v>
      </c>
    </row>
    <row r="60" spans="1:5" hidden="1">
      <c r="A60" t="s">
        <v>138</v>
      </c>
      <c r="B60" s="11">
        <v>5.87291266900766E-2</v>
      </c>
      <c r="D60" s="11">
        <v>1.5099877241123201E-2</v>
      </c>
    </row>
    <row r="61" spans="1:5" hidden="1"/>
    <row r="62" spans="1:5" hidden="1">
      <c r="B62" s="11" t="s">
        <v>148</v>
      </c>
      <c r="D62" s="11" t="s">
        <v>148</v>
      </c>
    </row>
    <row r="63" spans="1:5" hidden="1">
      <c r="A63" s="12" t="s">
        <v>135</v>
      </c>
      <c r="B63" s="14">
        <v>1.60294314871934E+18</v>
      </c>
      <c r="D63" s="14">
        <v>5.3757086785705397E+21</v>
      </c>
    </row>
    <row r="64" spans="1:5" hidden="1">
      <c r="A64" s="12" t="s">
        <v>136</v>
      </c>
      <c r="B64" s="14">
        <v>1.01530357853875E+19</v>
      </c>
      <c r="D64" s="14">
        <v>4.0621360968219398E+22</v>
      </c>
    </row>
    <row r="65" spans="1:5">
      <c r="A65" t="s">
        <v>137</v>
      </c>
      <c r="B65" s="11">
        <v>0.13635131176263199</v>
      </c>
      <c r="C65">
        <f>1/B65</f>
        <v>7.3339961828959597</v>
      </c>
      <c r="D65" s="11">
        <v>0.11687067719423</v>
      </c>
      <c r="E65">
        <f>1/D65</f>
        <v>8.5564662069860091</v>
      </c>
    </row>
    <row r="66" spans="1:5" hidden="1">
      <c r="A66" t="s">
        <v>138</v>
      </c>
      <c r="B66" s="11">
        <v>4.9154390910822299E-2</v>
      </c>
      <c r="D66" s="11">
        <v>2.7766632872867701E-2</v>
      </c>
    </row>
    <row r="67" spans="1:5" hidden="1"/>
    <row r="68" spans="1:5" hidden="1">
      <c r="B68" s="11" t="s">
        <v>149</v>
      </c>
      <c r="D68" s="11" t="s">
        <v>149</v>
      </c>
    </row>
    <row r="69" spans="1:5" hidden="1">
      <c r="A69" s="12" t="s">
        <v>135</v>
      </c>
      <c r="B69" s="14">
        <v>6.8046314342466601E+19</v>
      </c>
      <c r="D69" s="14">
        <v>1.8257783105293399E+20</v>
      </c>
    </row>
    <row r="70" spans="1:5" hidden="1">
      <c r="A70" s="12" t="s">
        <v>136</v>
      </c>
      <c r="B70" s="14">
        <v>7.8162364251062403E+19</v>
      </c>
      <c r="D70" s="14">
        <v>1.4869539113389599E+21</v>
      </c>
    </row>
    <row r="71" spans="1:5">
      <c r="A71" t="s">
        <v>137</v>
      </c>
      <c r="B71" s="11">
        <v>0.46540543965683701</v>
      </c>
      <c r="C71">
        <f>1/B71</f>
        <v>2.1486641856557198</v>
      </c>
      <c r="D71" s="11">
        <v>0.109358706047337</v>
      </c>
      <c r="E71">
        <f>1/D71</f>
        <v>9.1442193872259292</v>
      </c>
    </row>
    <row r="72" spans="1:5" hidden="1">
      <c r="A72" t="s">
        <v>138</v>
      </c>
      <c r="B72" s="11">
        <v>0.46827416037361902</v>
      </c>
      <c r="D72" s="11">
        <v>2.4845409169394501E-2</v>
      </c>
    </row>
    <row r="73" spans="1:5" hidden="1"/>
    <row r="74" spans="1:5" hidden="1">
      <c r="B74" s="11" t="s">
        <v>150</v>
      </c>
      <c r="D74" s="11" t="s">
        <v>150</v>
      </c>
    </row>
    <row r="75" spans="1:5" hidden="1">
      <c r="A75" s="12" t="s">
        <v>135</v>
      </c>
      <c r="B75" s="14">
        <v>9.1629990277301904E+16</v>
      </c>
      <c r="D75" s="14">
        <v>8.6086290336629299E+18</v>
      </c>
    </row>
    <row r="76" spans="1:5" hidden="1">
      <c r="A76" s="12" t="s">
        <v>136</v>
      </c>
      <c r="B76" s="14">
        <v>2.0632501265002099E+17</v>
      </c>
      <c r="D76" s="14">
        <v>5.3247145051317502E+19</v>
      </c>
    </row>
    <row r="77" spans="1:5">
      <c r="A77" t="s">
        <v>137</v>
      </c>
      <c r="B77" s="11">
        <v>0.30752962486638302</v>
      </c>
      <c r="C77">
        <f>1/B77</f>
        <v>3.2517192463473599</v>
      </c>
      <c r="D77" s="11">
        <v>0.13917260208943399</v>
      </c>
      <c r="E77">
        <f>1/D77</f>
        <v>7.1853222903556002</v>
      </c>
    </row>
    <row r="78" spans="1:5" hidden="1">
      <c r="A78" t="s">
        <v>138</v>
      </c>
      <c r="B78" s="11">
        <v>0.11211822589984299</v>
      </c>
      <c r="D78" s="11">
        <v>2.4991407831846401E-2</v>
      </c>
    </row>
    <row r="79" spans="1:5" hidden="1"/>
    <row r="80" spans="1:5" hidden="1">
      <c r="B80" s="11" t="s">
        <v>151</v>
      </c>
      <c r="D80" s="11" t="s">
        <v>151</v>
      </c>
    </row>
    <row r="81" spans="1:5" hidden="1">
      <c r="A81" s="12" t="s">
        <v>135</v>
      </c>
      <c r="B81" s="14">
        <v>2.21677585919815E+21</v>
      </c>
      <c r="D81" s="14">
        <v>5.5623390854505803E+22</v>
      </c>
    </row>
    <row r="82" spans="1:5" hidden="1">
      <c r="A82" s="12" t="s">
        <v>136</v>
      </c>
      <c r="B82" s="14">
        <v>3.93613277555963E+22</v>
      </c>
      <c r="D82" s="14">
        <v>5.9410233094901998E+23</v>
      </c>
    </row>
    <row r="83" spans="1:5">
      <c r="A83" t="s">
        <v>137</v>
      </c>
      <c r="B83" s="11">
        <v>5.3315944366673099E-2</v>
      </c>
      <c r="C83">
        <f>1/B83</f>
        <v>18.756115302443799</v>
      </c>
      <c r="D83" s="11">
        <v>8.5610572258252096E-2</v>
      </c>
      <c r="E83">
        <f>1/D83</f>
        <v>11.6808003219907</v>
      </c>
    </row>
    <row r="84" spans="1:5" hidden="1">
      <c r="A84" t="s">
        <v>138</v>
      </c>
      <c r="B84" s="11">
        <v>4.3786778343636E-3</v>
      </c>
      <c r="D84" s="11">
        <v>6.9569536741389401E-3</v>
      </c>
    </row>
    <row r="85" spans="1:5" hidden="1"/>
    <row r="86" spans="1:5" hidden="1">
      <c r="B86" s="11" t="s">
        <v>152</v>
      </c>
      <c r="D86" s="11" t="s">
        <v>152</v>
      </c>
    </row>
    <row r="87" spans="1:5" hidden="1">
      <c r="A87" s="12" t="s">
        <v>135</v>
      </c>
      <c r="B87" s="14">
        <v>1.5131379280305199E+19</v>
      </c>
      <c r="D87" s="14">
        <v>6.8387166509585002E+31</v>
      </c>
    </row>
    <row r="88" spans="1:5" hidden="1">
      <c r="A88" s="12" t="s">
        <v>136</v>
      </c>
      <c r="B88" s="14">
        <v>1.2625547343113799E+20</v>
      </c>
      <c r="D88" s="14">
        <v>1.08760587629961E+33</v>
      </c>
    </row>
    <row r="89" spans="1:5">
      <c r="A89" t="s">
        <v>137</v>
      </c>
      <c r="B89" s="11">
        <v>0.10702111964531</v>
      </c>
      <c r="C89">
        <f>1/B89</f>
        <v>9.3439500849384292</v>
      </c>
      <c r="D89" s="11">
        <v>5.9158804574979303E-2</v>
      </c>
      <c r="E89">
        <f>1/D89</f>
        <v>16.903654615477802</v>
      </c>
    </row>
    <row r="90" spans="1:5" hidden="1">
      <c r="A90" t="s">
        <v>138</v>
      </c>
      <c r="B90" s="11">
        <v>1.3341910030351499E-2</v>
      </c>
      <c r="D90" s="11">
        <v>4.6593107230220804E-3</v>
      </c>
    </row>
    <row r="91" spans="1:5" hidden="1"/>
    <row r="92" spans="1:5" hidden="1">
      <c r="B92" s="11" t="s">
        <v>153</v>
      </c>
      <c r="D92" s="11" t="s">
        <v>153</v>
      </c>
    </row>
    <row r="93" spans="1:5" hidden="1">
      <c r="A93" s="12" t="s">
        <v>135</v>
      </c>
      <c r="B93" s="14">
        <v>1.78360309432744E+19</v>
      </c>
      <c r="D93" s="14">
        <v>1.50863794370445E+18</v>
      </c>
    </row>
    <row r="94" spans="1:5" hidden="1">
      <c r="A94" s="12" t="s">
        <v>136</v>
      </c>
      <c r="B94" s="14">
        <v>2.08007612674751E+20</v>
      </c>
      <c r="D94" s="14">
        <v>2.8461730483109601E+19</v>
      </c>
    </row>
    <row r="95" spans="1:5">
      <c r="A95" t="s">
        <v>137</v>
      </c>
      <c r="B95" s="11">
        <v>7.8975129242251002E-2</v>
      </c>
      <c r="C95">
        <f>1/B95</f>
        <v>12.6622141627976</v>
      </c>
      <c r="D95" s="11">
        <v>5.0337650916386499E-2</v>
      </c>
      <c r="E95">
        <f>1/D95</f>
        <v>19.865845580697702</v>
      </c>
    </row>
    <row r="96" spans="1:5" hidden="1">
      <c r="A96" t="s">
        <v>138</v>
      </c>
      <c r="B96" s="11">
        <v>7.8374708124503995E-3</v>
      </c>
      <c r="D96" s="11">
        <v>4.1030476600193997E-3</v>
      </c>
    </row>
    <row r="97" spans="1:5" hidden="1"/>
    <row r="98" spans="1:5" hidden="1">
      <c r="B98" s="11" t="s">
        <v>154</v>
      </c>
      <c r="D98" s="11" t="s">
        <v>154</v>
      </c>
    </row>
    <row r="99" spans="1:5" hidden="1">
      <c r="A99" s="12" t="s">
        <v>135</v>
      </c>
      <c r="B99" s="14">
        <v>3.6229978032433799E+19</v>
      </c>
      <c r="D99" s="14">
        <v>1.3449523514089099E+23</v>
      </c>
    </row>
    <row r="100" spans="1:5" hidden="1">
      <c r="A100" s="12" t="s">
        <v>136</v>
      </c>
      <c r="B100" s="14">
        <v>1.3695088951613701E+20</v>
      </c>
      <c r="D100" s="14">
        <v>1.38367417907406E+24</v>
      </c>
    </row>
    <row r="101" spans="1:5">
      <c r="A101" t="s">
        <v>137</v>
      </c>
      <c r="B101" s="11">
        <v>0.209203121252829</v>
      </c>
      <c r="C101">
        <f>1/B101</f>
        <v>4.7800434047609901</v>
      </c>
      <c r="D101" s="11">
        <v>8.8590399649461304E-2</v>
      </c>
      <c r="E101">
        <f>1/D101</f>
        <v>11.287904828930101</v>
      </c>
    </row>
    <row r="102" spans="1:5" hidden="1">
      <c r="A102" t="s">
        <v>138</v>
      </c>
      <c r="B102" s="11">
        <v>7.4893044490521907E-2</v>
      </c>
      <c r="D102" s="11">
        <v>1.00760914910175E-2</v>
      </c>
    </row>
    <row r="103" spans="1:5" hidden="1"/>
    <row r="104" spans="1:5" hidden="1">
      <c r="B104" s="11" t="s">
        <v>155</v>
      </c>
      <c r="D104" s="11" t="s">
        <v>155</v>
      </c>
    </row>
    <row r="105" spans="1:5" hidden="1">
      <c r="A105" s="12" t="s">
        <v>135</v>
      </c>
      <c r="B105" s="14">
        <v>3.3364492299035899E+18</v>
      </c>
      <c r="D105" s="14">
        <v>6.8896717573269094E+20</v>
      </c>
    </row>
    <row r="106" spans="1:5" hidden="1">
      <c r="A106" s="12" t="s">
        <v>136</v>
      </c>
      <c r="B106" s="14">
        <v>3.57695758759308E+19</v>
      </c>
      <c r="D106" s="14">
        <v>1.1488026707123E+22</v>
      </c>
    </row>
    <row r="107" spans="1:5">
      <c r="A107" t="s">
        <v>137</v>
      </c>
      <c r="B107" s="11">
        <v>8.5318035286736496E-2</v>
      </c>
      <c r="C107">
        <f>1/B107</f>
        <v>11.720851243693099</v>
      </c>
      <c r="D107" s="11">
        <v>5.65794137995504E-2</v>
      </c>
      <c r="E107">
        <f>1/D107</f>
        <v>17.6742728997299</v>
      </c>
    </row>
    <row r="108" spans="1:5" hidden="1">
      <c r="A108" t="s">
        <v>138</v>
      </c>
      <c r="B108" s="11">
        <v>2.2424336102982199E-2</v>
      </c>
      <c r="D108" s="11">
        <v>5.2986120878412398E-3</v>
      </c>
    </row>
    <row r="109" spans="1:5" hidden="1"/>
    <row r="110" spans="1:5" hidden="1">
      <c r="B110" s="11" t="s">
        <v>156</v>
      </c>
      <c r="D110" s="11" t="s">
        <v>156</v>
      </c>
    </row>
    <row r="111" spans="1:5" hidden="1">
      <c r="A111" s="12" t="s">
        <v>135</v>
      </c>
      <c r="B111" s="14">
        <v>4.7506684651460303E+20</v>
      </c>
      <c r="D111" s="14">
        <v>7.8430171138414897E+20</v>
      </c>
    </row>
    <row r="112" spans="1:5" hidden="1">
      <c r="A112" s="12" t="s">
        <v>136</v>
      </c>
      <c r="B112" s="14">
        <v>2.2439349123146601E+21</v>
      </c>
      <c r="D112" s="14">
        <v>3.9807400243689601E+21</v>
      </c>
    </row>
    <row r="113" spans="1:5">
      <c r="A113" t="s">
        <v>137</v>
      </c>
      <c r="B113" s="11">
        <v>0.17472105156678999</v>
      </c>
      <c r="C113">
        <f>1/B113</f>
        <v>5.7234087766334998</v>
      </c>
      <c r="D113" s="11">
        <v>0.164594930092504</v>
      </c>
      <c r="E113">
        <f>1/D113</f>
        <v>6.07552127783031</v>
      </c>
    </row>
    <row r="114" spans="1:5" hidden="1">
      <c r="A114" t="s">
        <v>138</v>
      </c>
      <c r="B114" s="11">
        <v>6.5923137707955798E-2</v>
      </c>
      <c r="D114" s="11">
        <v>3.4687609539758898E-2</v>
      </c>
    </row>
    <row r="115" spans="1:5" hidden="1"/>
    <row r="116" spans="1:5" hidden="1">
      <c r="B116" s="11" t="s">
        <v>157</v>
      </c>
      <c r="D116" s="11" t="s">
        <v>157</v>
      </c>
    </row>
    <row r="117" spans="1:5" hidden="1">
      <c r="A117" s="12" t="s">
        <v>135</v>
      </c>
      <c r="B117" s="14">
        <v>9.8280883510658898E+20</v>
      </c>
      <c r="D117" s="14">
        <v>3.29604971567549E+22</v>
      </c>
    </row>
    <row r="118" spans="1:5" hidden="1">
      <c r="A118" s="12" t="s">
        <v>136</v>
      </c>
      <c r="B118" s="14">
        <v>4.5289576508945901E+21</v>
      </c>
      <c r="D118" s="14">
        <v>2.22047359803851E+23</v>
      </c>
    </row>
    <row r="119" spans="1:5">
      <c r="A119" t="s">
        <v>137</v>
      </c>
      <c r="B119" s="11">
        <v>0.17831104376477699</v>
      </c>
      <c r="C119">
        <f>1/B119</f>
        <v>5.6081775917321899</v>
      </c>
      <c r="D119" s="11">
        <v>0.12925286910609399</v>
      </c>
      <c r="E119">
        <f>1/D119</f>
        <v>7.7367721654145596</v>
      </c>
    </row>
    <row r="120" spans="1:5" hidden="1">
      <c r="A120" t="s">
        <v>138</v>
      </c>
      <c r="B120" s="11">
        <v>6.5025019639472104E-2</v>
      </c>
      <c r="D120" s="11">
        <v>1.82498229050936E-2</v>
      </c>
    </row>
    <row r="121" spans="1:5" hidden="1"/>
    <row r="122" spans="1:5" hidden="1">
      <c r="B122" s="11" t="s">
        <v>158</v>
      </c>
      <c r="D122" s="11" t="s">
        <v>158</v>
      </c>
    </row>
    <row r="123" spans="1:5" hidden="1">
      <c r="A123" s="12" t="s">
        <v>135</v>
      </c>
      <c r="B123" s="14">
        <v>9.8929427564113498E+17</v>
      </c>
      <c r="D123" s="14">
        <v>2.3743509294974602E+18</v>
      </c>
    </row>
    <row r="124" spans="1:5" hidden="1">
      <c r="A124" s="12" t="s">
        <v>136</v>
      </c>
      <c r="B124" s="14">
        <v>1.3453208865305301E+19</v>
      </c>
      <c r="D124" s="14">
        <v>3.3611303193633198E+19</v>
      </c>
    </row>
    <row r="125" spans="1:5">
      <c r="A125" t="s">
        <v>137</v>
      </c>
      <c r="B125" s="11">
        <v>6.8498809796783106E-2</v>
      </c>
      <c r="C125">
        <f>1/B125</f>
        <v>14.598793803377299</v>
      </c>
      <c r="D125" s="11">
        <v>6.5980485483833201E-2</v>
      </c>
      <c r="E125">
        <f>1/D125</f>
        <v>15.155996392979301</v>
      </c>
    </row>
    <row r="126" spans="1:5" hidden="1">
      <c r="A126" t="s">
        <v>138</v>
      </c>
      <c r="B126" s="11">
        <v>6.45852525314784E-3</v>
      </c>
      <c r="D126" s="11">
        <v>6.5878326435737499E-3</v>
      </c>
    </row>
    <row r="127" spans="1:5" hidden="1"/>
    <row r="128" spans="1:5" hidden="1">
      <c r="B128" s="11" t="s">
        <v>159</v>
      </c>
      <c r="D128" s="11" t="s">
        <v>159</v>
      </c>
    </row>
    <row r="129" spans="1:5" hidden="1">
      <c r="A129" s="12" t="s">
        <v>135</v>
      </c>
      <c r="B129" s="14">
        <v>9.8155531028853095E+22</v>
      </c>
      <c r="D129" s="14">
        <v>1.27907700560294E+23</v>
      </c>
    </row>
    <row r="130" spans="1:5" hidden="1">
      <c r="A130" s="12" t="s">
        <v>136</v>
      </c>
      <c r="B130" s="14">
        <v>1.6264433332420901E+23</v>
      </c>
      <c r="D130" s="14">
        <v>6.2917177683197099E+23</v>
      </c>
    </row>
    <row r="131" spans="1:5">
      <c r="A131" t="s">
        <v>137</v>
      </c>
      <c r="B131" s="11">
        <v>0.37636342822622398</v>
      </c>
      <c r="C131">
        <f>1/B131</f>
        <v>2.6570063003011102</v>
      </c>
      <c r="D131" s="11">
        <v>0.16894884140944899</v>
      </c>
      <c r="E131">
        <f>1/D131</f>
        <v>5.9189515101585801</v>
      </c>
    </row>
    <row r="132" spans="1:5" hidden="1">
      <c r="A132" t="s">
        <v>138</v>
      </c>
      <c r="B132" s="11">
        <v>0.76757416970902403</v>
      </c>
      <c r="D132" s="11">
        <v>3.0528487418889399E-2</v>
      </c>
    </row>
    <row r="133" spans="1:5" hidden="1"/>
    <row r="134" spans="1:5" hidden="1">
      <c r="B134" s="11" t="s">
        <v>160</v>
      </c>
      <c r="D134" s="11" t="s">
        <v>160</v>
      </c>
    </row>
    <row r="135" spans="1:5" hidden="1">
      <c r="A135" s="12" t="s">
        <v>135</v>
      </c>
      <c r="B135" s="14">
        <v>1.5359559425379701E+19</v>
      </c>
      <c r="D135" s="14">
        <v>1.13780769228323E+20</v>
      </c>
    </row>
    <row r="136" spans="1:5" hidden="1">
      <c r="A136" s="12" t="s">
        <v>136</v>
      </c>
      <c r="B136" s="14">
        <v>2.52549343173087E+20</v>
      </c>
      <c r="D136" s="14">
        <v>1.7546300418892599E+21</v>
      </c>
    </row>
    <row r="137" spans="1:5">
      <c r="A137" t="s">
        <v>137</v>
      </c>
      <c r="B137" s="11">
        <v>5.7331276700424497E-2</v>
      </c>
      <c r="C137">
        <f>1/B137</f>
        <v>17.442486153331998</v>
      </c>
      <c r="D137" s="11">
        <v>6.0897083527506203E-2</v>
      </c>
      <c r="E137">
        <f>1/D137</f>
        <v>16.421147649021901</v>
      </c>
    </row>
    <row r="138" spans="1:5" hidden="1">
      <c r="A138" t="s">
        <v>138</v>
      </c>
      <c r="B138" s="11">
        <v>7.4656747713434998E-3</v>
      </c>
      <c r="D138" s="11">
        <v>6.5489675733661004E-3</v>
      </c>
    </row>
    <row r="139" spans="1:5" hidden="1"/>
    <row r="140" spans="1:5" hidden="1">
      <c r="B140" s="11" t="s">
        <v>161</v>
      </c>
      <c r="D140" s="11" t="s">
        <v>161</v>
      </c>
    </row>
    <row r="141" spans="1:5" hidden="1">
      <c r="A141" s="12" t="s">
        <v>135</v>
      </c>
      <c r="B141" s="11">
        <v>3927069127307680</v>
      </c>
      <c r="D141" s="14">
        <v>7.7629459256787495E+20</v>
      </c>
    </row>
    <row r="142" spans="1:5" hidden="1">
      <c r="A142" s="12" t="s">
        <v>136</v>
      </c>
      <c r="B142" s="14">
        <v>1.64013236016937E+16</v>
      </c>
      <c r="D142" s="14">
        <v>7.4505151016839802E+21</v>
      </c>
    </row>
    <row r="143" spans="1:5">
      <c r="A143" t="s">
        <v>137</v>
      </c>
      <c r="B143" s="11">
        <v>0.193181486586745</v>
      </c>
      <c r="C143">
        <f>1/B143</f>
        <v>5.1764794736216402</v>
      </c>
      <c r="D143" s="11">
        <v>9.4361559513194804E-2</v>
      </c>
      <c r="E143">
        <f>1/D143</f>
        <v>10.5975357461125</v>
      </c>
    </row>
    <row r="144" spans="1:5" hidden="1">
      <c r="A144" t="s">
        <v>138</v>
      </c>
      <c r="B144" s="11">
        <v>0.12964662675177399</v>
      </c>
      <c r="D144" s="11">
        <v>1.28952026401799E-2</v>
      </c>
    </row>
    <row r="145" spans="1:5" hidden="1"/>
    <row r="146" spans="1:5" hidden="1">
      <c r="B146" s="11" t="s">
        <v>162</v>
      </c>
      <c r="D146" s="11" t="s">
        <v>162</v>
      </c>
    </row>
    <row r="147" spans="1:5" hidden="1">
      <c r="A147" s="12" t="s">
        <v>135</v>
      </c>
      <c r="B147" s="14">
        <v>1.71494286213517E+19</v>
      </c>
      <c r="D147" s="14">
        <v>1.8780499382656901E+19</v>
      </c>
    </row>
    <row r="148" spans="1:5" hidden="1">
      <c r="A148" s="12" t="s">
        <v>136</v>
      </c>
      <c r="B148" s="14">
        <v>4.66834655442376E+20</v>
      </c>
      <c r="D148" s="14">
        <v>4.1084416592079402E+20</v>
      </c>
    </row>
    <row r="149" spans="1:5">
      <c r="A149" t="s">
        <v>137</v>
      </c>
      <c r="B149" s="11">
        <v>3.5433868976347503E-2</v>
      </c>
      <c r="C149">
        <f>1/B149</f>
        <v>28.221586546688201</v>
      </c>
      <c r="D149" s="11">
        <v>4.3713736429429398E-2</v>
      </c>
      <c r="E149">
        <f>1/D149</f>
        <v>22.876104439490799</v>
      </c>
    </row>
    <row r="150" spans="1:5" hidden="1">
      <c r="A150" t="s">
        <v>138</v>
      </c>
      <c r="B150" s="11">
        <v>2.5305352017873902E-3</v>
      </c>
      <c r="D150" s="11">
        <v>3.07721428019687E-3</v>
      </c>
    </row>
    <row r="151" spans="1:5" hidden="1"/>
    <row r="152" spans="1:5" hidden="1">
      <c r="B152" s="11" t="s">
        <v>163</v>
      </c>
      <c r="D152" s="11" t="s">
        <v>163</v>
      </c>
    </row>
    <row r="153" spans="1:5" hidden="1">
      <c r="A153" s="12" t="s">
        <v>135</v>
      </c>
      <c r="B153" s="14">
        <v>3.9893239600233498E+18</v>
      </c>
      <c r="D153" s="14">
        <v>3.9501515157701499E+21</v>
      </c>
    </row>
    <row r="154" spans="1:5" hidden="1">
      <c r="A154" s="12" t="s">
        <v>136</v>
      </c>
      <c r="B154" s="14">
        <v>6.2600324596882504E+18</v>
      </c>
      <c r="D154" s="14">
        <v>2.5005826391148199E+22</v>
      </c>
    </row>
    <row r="155" spans="1:5">
      <c r="A155" t="s">
        <v>137</v>
      </c>
      <c r="B155" s="11">
        <v>0.38922677645896497</v>
      </c>
      <c r="C155">
        <f>1/B155</f>
        <v>2.5691963155711299</v>
      </c>
      <c r="D155" s="11">
        <v>0.136419206026067</v>
      </c>
      <c r="E155">
        <f>1/D155</f>
        <v>7.3303461376906096</v>
      </c>
    </row>
    <row r="156" spans="1:5" hidden="1">
      <c r="A156" t="s">
        <v>138</v>
      </c>
      <c r="B156" s="11">
        <v>0.36603834543658897</v>
      </c>
      <c r="D156" s="11">
        <v>2.8601395876176799E-2</v>
      </c>
    </row>
    <row r="157" spans="1:5" hidden="1"/>
    <row r="158" spans="1:5" hidden="1">
      <c r="B158" s="11" t="s">
        <v>164</v>
      </c>
      <c r="D158" s="11" t="s">
        <v>164</v>
      </c>
    </row>
    <row r="159" spans="1:5" hidden="1">
      <c r="A159" s="12" t="s">
        <v>135</v>
      </c>
      <c r="B159" s="11">
        <v>704373134066998</v>
      </c>
      <c r="D159" s="14">
        <v>1.09303670246781E+18</v>
      </c>
    </row>
    <row r="160" spans="1:5" hidden="1">
      <c r="A160" s="12" t="s">
        <v>136</v>
      </c>
      <c r="B160" s="11">
        <v>2874105072502130</v>
      </c>
      <c r="D160" s="14">
        <v>1.0821462801382601E+19</v>
      </c>
    </row>
    <row r="161" spans="1:5">
      <c r="A161" t="s">
        <v>137</v>
      </c>
      <c r="B161" s="11">
        <v>0.19683594349518599</v>
      </c>
      <c r="C161">
        <f>1/B161</f>
        <v>5.0803729351618996</v>
      </c>
      <c r="D161" s="11">
        <v>9.1740043475143002E-2</v>
      </c>
      <c r="E161">
        <f>1/D161</f>
        <v>10.9003654469703</v>
      </c>
    </row>
    <row r="162" spans="1:5" hidden="1">
      <c r="A162" t="s">
        <v>138</v>
      </c>
      <c r="B162" s="11">
        <v>0.14601601988236601</v>
      </c>
      <c r="D162" s="11">
        <v>2.62726481262259E-2</v>
      </c>
    </row>
    <row r="163" spans="1:5" hidden="1"/>
    <row r="164" spans="1:5" hidden="1">
      <c r="B164" s="11" t="s">
        <v>165</v>
      </c>
      <c r="D164" s="11" t="s">
        <v>165</v>
      </c>
    </row>
    <row r="165" spans="1:5" hidden="1">
      <c r="A165" s="12" t="s">
        <v>135</v>
      </c>
      <c r="B165" s="14">
        <v>1.8739545819302099E+17</v>
      </c>
      <c r="D165" s="14">
        <v>2.3949419141452698E+18</v>
      </c>
    </row>
    <row r="166" spans="1:5" hidden="1">
      <c r="A166" s="12" t="s">
        <v>136</v>
      </c>
      <c r="B166" s="14">
        <v>1.0671378502626801E+18</v>
      </c>
      <c r="D166" s="14">
        <v>2.0095731715307901E+19</v>
      </c>
    </row>
    <row r="167" spans="1:5">
      <c r="A167" t="s">
        <v>137</v>
      </c>
      <c r="B167" s="11">
        <v>0.14937463750858701</v>
      </c>
      <c r="C167">
        <f>1/B167</f>
        <v>6.69457691532482</v>
      </c>
      <c r="D167" s="11">
        <v>0.106486001869188</v>
      </c>
      <c r="E167">
        <f>1/D167</f>
        <v>9.3909056819359495</v>
      </c>
    </row>
    <row r="168" spans="1:5" hidden="1">
      <c r="A168" t="s">
        <v>138</v>
      </c>
      <c r="B168" s="11">
        <v>5.7478705048647799E-2</v>
      </c>
      <c r="D168" s="11">
        <v>2.2887627170545599E-2</v>
      </c>
    </row>
    <row r="169" spans="1:5" hidden="1"/>
    <row r="170" spans="1:5" hidden="1">
      <c r="B170" s="11" t="s">
        <v>166</v>
      </c>
      <c r="D170" s="11" t="s">
        <v>166</v>
      </c>
    </row>
    <row r="171" spans="1:5" hidden="1">
      <c r="A171" s="12" t="s">
        <v>135</v>
      </c>
      <c r="B171" s="14">
        <v>9.908007690352599E+18</v>
      </c>
      <c r="D171" s="14">
        <v>6.91519247875062E+16</v>
      </c>
    </row>
    <row r="172" spans="1:5" hidden="1">
      <c r="A172" s="12" t="s">
        <v>136</v>
      </c>
      <c r="B172" s="14">
        <v>1.3796018080428101E+20</v>
      </c>
      <c r="D172" s="14">
        <v>1.5902230936661299E+18</v>
      </c>
    </row>
    <row r="173" spans="1:5">
      <c r="A173" t="s">
        <v>137</v>
      </c>
      <c r="B173" s="11">
        <v>6.7005674386226496E-2</v>
      </c>
      <c r="C173">
        <f>1/B173</f>
        <v>14.9241091767231</v>
      </c>
      <c r="D173" s="11">
        <v>4.1673475868009797E-2</v>
      </c>
      <c r="E173">
        <f>1/D173</f>
        <v>23.9960785408745</v>
      </c>
    </row>
    <row r="174" spans="1:5" hidden="1">
      <c r="A174" t="s">
        <v>138</v>
      </c>
      <c r="B174" s="11">
        <v>9.42663896190068E-3</v>
      </c>
      <c r="D174" s="11">
        <v>5.4759331079731501E-3</v>
      </c>
    </row>
    <row r="175" spans="1:5" hidden="1"/>
    <row r="176" spans="1:5" hidden="1">
      <c r="B176" s="11" t="s">
        <v>167</v>
      </c>
      <c r="D176" s="11" t="s">
        <v>167</v>
      </c>
    </row>
    <row r="177" spans="1:5" hidden="1">
      <c r="A177" s="12" t="s">
        <v>135</v>
      </c>
      <c r="B177" s="14">
        <v>5.6609815171676897E+19</v>
      </c>
      <c r="D177" s="14">
        <v>3.8473613990468898E+20</v>
      </c>
    </row>
    <row r="178" spans="1:5" hidden="1">
      <c r="A178" s="12" t="s">
        <v>136</v>
      </c>
      <c r="B178" s="14">
        <v>5.1695532283688603E+20</v>
      </c>
      <c r="D178" s="14">
        <v>7.4933271434616898E+21</v>
      </c>
    </row>
    <row r="179" spans="1:5">
      <c r="A179" t="s">
        <v>137</v>
      </c>
      <c r="B179" s="11">
        <v>9.8698145023646405E-2</v>
      </c>
      <c r="C179">
        <f>1/B179</f>
        <v>10.1319026792288</v>
      </c>
      <c r="D179" s="11">
        <v>4.8836386059123799E-2</v>
      </c>
      <c r="E179">
        <f>1/D179</f>
        <v>20.476535646788999</v>
      </c>
    </row>
    <row r="180" spans="1:5" hidden="1">
      <c r="A180" t="s">
        <v>138</v>
      </c>
      <c r="B180" s="11">
        <v>2.2384517959893699E-2</v>
      </c>
      <c r="D180" s="11">
        <v>4.8704991547963896E-3</v>
      </c>
    </row>
    <row r="181" spans="1:5" hidden="1"/>
    <row r="182" spans="1:5" hidden="1">
      <c r="B182" s="11" t="s">
        <v>168</v>
      </c>
      <c r="D182" s="11" t="s">
        <v>168</v>
      </c>
    </row>
    <row r="183" spans="1:5" hidden="1">
      <c r="A183" s="12" t="s">
        <v>135</v>
      </c>
      <c r="B183" s="14">
        <v>6.0744413409446605E+18</v>
      </c>
      <c r="D183" s="14">
        <v>1.6098578801752199E+22</v>
      </c>
    </row>
    <row r="184" spans="1:5" hidden="1">
      <c r="A184" s="12" t="s">
        <v>136</v>
      </c>
      <c r="B184" s="14">
        <v>3.12149687346101E+19</v>
      </c>
      <c r="D184" s="14">
        <v>1.3313785622965601E+23</v>
      </c>
    </row>
    <row r="185" spans="1:5">
      <c r="A185" t="s">
        <v>137</v>
      </c>
      <c r="B185" s="11">
        <v>0.162899904520795</v>
      </c>
      <c r="C185">
        <f>1/B185</f>
        <v>6.13873901855077</v>
      </c>
      <c r="D185" s="11">
        <v>0.10787297886313101</v>
      </c>
      <c r="E185">
        <f>1/D185</f>
        <v>9.2701620974868799</v>
      </c>
    </row>
    <row r="186" spans="1:5" hidden="1">
      <c r="A186" t="s">
        <v>138</v>
      </c>
      <c r="B186" s="11">
        <v>5.4695740919208702E-2</v>
      </c>
      <c r="D186" s="11">
        <v>1.45615072815497E-2</v>
      </c>
    </row>
    <row r="187" spans="1:5" hidden="1"/>
    <row r="188" spans="1:5" hidden="1">
      <c r="B188" s="11" t="s">
        <v>169</v>
      </c>
      <c r="D188" s="11" t="s">
        <v>169</v>
      </c>
    </row>
    <row r="189" spans="1:5" hidden="1">
      <c r="A189" s="12" t="s">
        <v>135</v>
      </c>
      <c r="B189" s="14">
        <v>8.1850761496737894E+17</v>
      </c>
      <c r="D189" s="14">
        <v>5.29669353687179E+20</v>
      </c>
    </row>
    <row r="190" spans="1:5" hidden="1">
      <c r="A190" s="12" t="s">
        <v>136</v>
      </c>
      <c r="B190" s="14">
        <v>2.1161246137886799E+18</v>
      </c>
      <c r="D190" s="14">
        <v>2.87699517612957E+21</v>
      </c>
    </row>
    <row r="191" spans="1:5">
      <c r="A191" t="s">
        <v>137</v>
      </c>
      <c r="B191" s="11">
        <v>0.27891318269694299</v>
      </c>
      <c r="C191">
        <f>1/B191</f>
        <v>3.5853450537207601</v>
      </c>
      <c r="D191" s="11">
        <v>0.15548033833424399</v>
      </c>
      <c r="E191">
        <f>1/D191</f>
        <v>6.4316813991634696</v>
      </c>
    </row>
    <row r="192" spans="1:5" hidden="1">
      <c r="A192" t="s">
        <v>138</v>
      </c>
      <c r="B192" s="11">
        <v>0.16012169438930701</v>
      </c>
      <c r="D192" s="11">
        <v>3.3940737210644403E-2</v>
      </c>
    </row>
    <row r="193" spans="1:5" hidden="1"/>
    <row r="194" spans="1:5" hidden="1">
      <c r="B194" s="11" t="s">
        <v>170</v>
      </c>
      <c r="D194" s="11" t="s">
        <v>170</v>
      </c>
    </row>
    <row r="195" spans="1:5" hidden="1">
      <c r="A195" s="12" t="s">
        <v>135</v>
      </c>
      <c r="B195" s="14">
        <v>2.1236084188671499E+20</v>
      </c>
      <c r="D195" s="14">
        <v>6.9265928412789602E+31</v>
      </c>
    </row>
    <row r="196" spans="1:5" hidden="1">
      <c r="A196" s="12" t="s">
        <v>136</v>
      </c>
      <c r="B196" s="14">
        <v>6.7578414850843699E+20</v>
      </c>
      <c r="D196" s="14">
        <v>4.9223515901480498E+32</v>
      </c>
    </row>
    <row r="197" spans="1:5">
      <c r="A197" t="s">
        <v>137</v>
      </c>
      <c r="B197" s="11">
        <v>0.23910605158312201</v>
      </c>
      <c r="C197">
        <f>1/B197</f>
        <v>4.18224462902129</v>
      </c>
      <c r="D197" s="11">
        <v>0.123358493801174</v>
      </c>
      <c r="E197">
        <f>1/D197</f>
        <v>8.1064543606682999</v>
      </c>
    </row>
    <row r="198" spans="1:5" hidden="1">
      <c r="A198" t="s">
        <v>138</v>
      </c>
      <c r="B198" s="11">
        <v>0.27917263144864501</v>
      </c>
      <c r="D198" s="11">
        <v>3.0719807763051402E-2</v>
      </c>
    </row>
    <row r="199" spans="1:5" hidden="1"/>
    <row r="200" spans="1:5" hidden="1">
      <c r="B200" s="11" t="s">
        <v>171</v>
      </c>
      <c r="D200" s="11" t="s">
        <v>171</v>
      </c>
    </row>
    <row r="201" spans="1:5" hidden="1">
      <c r="A201" s="12" t="s">
        <v>135</v>
      </c>
      <c r="B201" s="14">
        <v>1.6619112313148701E+19</v>
      </c>
      <c r="D201" s="14">
        <v>3.3239023032304701E+19</v>
      </c>
    </row>
    <row r="202" spans="1:5" hidden="1">
      <c r="A202" s="12" t="s">
        <v>136</v>
      </c>
      <c r="B202" s="14">
        <v>2.8506870322991999E+20</v>
      </c>
      <c r="D202" s="14">
        <v>7.1292641787870301E+20</v>
      </c>
    </row>
    <row r="203" spans="1:5">
      <c r="A203" t="s">
        <v>137</v>
      </c>
      <c r="B203" s="11">
        <v>5.5087118063527299E-2</v>
      </c>
      <c r="C203">
        <f>1/B203</f>
        <v>18.153064367004699</v>
      </c>
      <c r="D203" s="11">
        <v>4.4546452046509297E-2</v>
      </c>
      <c r="E203">
        <f>1/D203</f>
        <v>22.4484769057688</v>
      </c>
    </row>
    <row r="204" spans="1:5" hidden="1">
      <c r="A204" t="s">
        <v>138</v>
      </c>
      <c r="B204" s="11">
        <v>6.2584057526990297E-3</v>
      </c>
      <c r="D204" s="11">
        <v>3.6461211788612002E-3</v>
      </c>
    </row>
    <row r="205" spans="1:5" hidden="1"/>
    <row r="206" spans="1:5" hidden="1">
      <c r="B206" s="11" t="s">
        <v>172</v>
      </c>
      <c r="D206" s="11" t="s">
        <v>172</v>
      </c>
    </row>
    <row r="207" spans="1:5" hidden="1">
      <c r="A207" s="12" t="s">
        <v>135</v>
      </c>
      <c r="B207" s="14">
        <v>4.86562820835982E+16</v>
      </c>
      <c r="D207" s="14">
        <v>3.21233158972672E+18</v>
      </c>
    </row>
    <row r="208" spans="1:5" hidden="1">
      <c r="A208" s="12" t="s">
        <v>136</v>
      </c>
      <c r="B208" s="14">
        <v>1.82290020598461E+18</v>
      </c>
      <c r="D208" s="14">
        <v>3.6700257771619598E+19</v>
      </c>
    </row>
    <row r="209" spans="1:5">
      <c r="A209" t="s">
        <v>137</v>
      </c>
      <c r="B209" s="11">
        <v>2.5997763035098299E-2</v>
      </c>
      <c r="C209">
        <f>1/B209</f>
        <v>38.4648478659471</v>
      </c>
      <c r="D209" s="11">
        <v>8.0484169058641197E-2</v>
      </c>
      <c r="E209">
        <f>1/D209</f>
        <v>12.424803681223301</v>
      </c>
    </row>
    <row r="210" spans="1:5" hidden="1">
      <c r="A210" t="s">
        <v>138</v>
      </c>
      <c r="B210" s="11">
        <v>1.5621662559698801E-3</v>
      </c>
      <c r="D210" s="11">
        <v>6.1800401505268899E-3</v>
      </c>
    </row>
    <row r="211" spans="1:5" hidden="1"/>
    <row r="212" spans="1:5" hidden="1">
      <c r="B212" s="11" t="s">
        <v>173</v>
      </c>
      <c r="D212" s="11" t="s">
        <v>173</v>
      </c>
    </row>
    <row r="213" spans="1:5" hidden="1">
      <c r="A213" s="12" t="s">
        <v>135</v>
      </c>
      <c r="B213" s="14">
        <v>4.8475973851802296E+18</v>
      </c>
      <c r="D213" s="14">
        <v>1.3410784688174001E+18</v>
      </c>
    </row>
    <row r="214" spans="1:5" hidden="1">
      <c r="A214" s="12" t="s">
        <v>136</v>
      </c>
      <c r="B214" s="14">
        <v>9.3426652160832897E+19</v>
      </c>
      <c r="D214" s="14">
        <v>2.0545141773516399E+19</v>
      </c>
    </row>
    <row r="215" spans="1:5">
      <c r="A215" t="s">
        <v>137</v>
      </c>
      <c r="B215" s="11">
        <v>4.9327238901076799E-2</v>
      </c>
      <c r="C215">
        <f>1/B215</f>
        <v>20.2727746834857</v>
      </c>
      <c r="D215" s="11">
        <v>6.1275014779545701E-2</v>
      </c>
      <c r="E215">
        <f>1/D215</f>
        <v>16.3198655046887</v>
      </c>
    </row>
    <row r="216" spans="1:5" hidden="1">
      <c r="A216" t="s">
        <v>138</v>
      </c>
      <c r="B216" s="11">
        <v>4.2438583648938396E-3</v>
      </c>
      <c r="D216" s="11">
        <v>6.9668434262097198E-3</v>
      </c>
    </row>
    <row r="217" spans="1:5" hidden="1"/>
    <row r="218" spans="1:5" hidden="1">
      <c r="B218" s="11" t="s">
        <v>174</v>
      </c>
      <c r="D218" s="11" t="s">
        <v>174</v>
      </c>
    </row>
    <row r="219" spans="1:5" hidden="1">
      <c r="A219" s="12" t="s">
        <v>135</v>
      </c>
      <c r="B219" s="14">
        <v>4.0361900179130201E+20</v>
      </c>
      <c r="D219" s="14">
        <v>9.8997304952043196E+20</v>
      </c>
    </row>
    <row r="220" spans="1:5" hidden="1">
      <c r="A220" s="12" t="s">
        <v>136</v>
      </c>
      <c r="B220" s="14">
        <v>2.20722293059408E+21</v>
      </c>
      <c r="D220" s="14">
        <v>4.9171672138168696E+21</v>
      </c>
    </row>
    <row r="221" spans="1:5">
      <c r="A221" t="s">
        <v>137</v>
      </c>
      <c r="B221" s="11">
        <v>0.154593427041574</v>
      </c>
      <c r="C221">
        <f>1/B221</f>
        <v>6.4685803215364102</v>
      </c>
      <c r="D221" s="11">
        <v>0.16758922344619101</v>
      </c>
      <c r="E221">
        <f>1/D221</f>
        <v>5.9669707839005302</v>
      </c>
    </row>
    <row r="222" spans="1:5" hidden="1">
      <c r="A222" t="s">
        <v>138</v>
      </c>
      <c r="B222" s="11">
        <v>3.75631641118103E-2</v>
      </c>
      <c r="D222" s="11">
        <v>4.2196472165562701E-2</v>
      </c>
    </row>
    <row r="223" spans="1:5" hidden="1"/>
    <row r="224" spans="1:5" hidden="1">
      <c r="B224" s="11" t="s">
        <v>175</v>
      </c>
      <c r="D224" s="11" t="s">
        <v>175</v>
      </c>
    </row>
    <row r="225" spans="1:5" hidden="1">
      <c r="A225" s="12" t="s">
        <v>135</v>
      </c>
      <c r="B225" s="14">
        <v>2.39851574824401E+18</v>
      </c>
      <c r="D225" s="14">
        <v>8.0433575525039503E+18</v>
      </c>
    </row>
    <row r="226" spans="1:5" hidden="1">
      <c r="A226" s="12" t="s">
        <v>136</v>
      </c>
      <c r="B226" s="14">
        <v>4.8288277816277697E+19</v>
      </c>
      <c r="D226" s="14">
        <v>1.1244848691593599E+20</v>
      </c>
    </row>
    <row r="227" spans="1:5">
      <c r="A227" t="s">
        <v>137</v>
      </c>
      <c r="B227" s="11">
        <v>4.7320329016094197E-2</v>
      </c>
      <c r="C227">
        <f>1/B227</f>
        <v>21.1325665056109</v>
      </c>
      <c r="D227" s="11">
        <v>6.6754373194201605E-2</v>
      </c>
      <c r="E227">
        <f>1/D227</f>
        <v>14.980291959162001</v>
      </c>
    </row>
    <row r="228" spans="1:5" hidden="1">
      <c r="A228" t="s">
        <v>138</v>
      </c>
      <c r="B228" s="11">
        <v>5.2169856358093803E-3</v>
      </c>
      <c r="D228" s="11">
        <v>4.8686540218426102E-3</v>
      </c>
    </row>
    <row r="229" spans="1:5" hidden="1"/>
    <row r="230" spans="1:5" hidden="1">
      <c r="B230" s="11" t="s">
        <v>176</v>
      </c>
      <c r="D230" s="11" t="s">
        <v>176</v>
      </c>
    </row>
    <row r="231" spans="1:5" hidden="1">
      <c r="A231" s="12" t="s">
        <v>135</v>
      </c>
      <c r="B231" s="14">
        <v>3.2493729327569E+16</v>
      </c>
      <c r="D231" s="14">
        <v>1.2136316394245401E+19</v>
      </c>
    </row>
    <row r="232" spans="1:5" hidden="1">
      <c r="A232" s="12" t="s">
        <v>136</v>
      </c>
      <c r="B232" s="14">
        <v>1.3345246214970299E+18</v>
      </c>
      <c r="D232" s="14">
        <v>2.0973984799075801E+20</v>
      </c>
    </row>
    <row r="233" spans="1:5">
      <c r="A233" t="s">
        <v>137</v>
      </c>
      <c r="B233" s="11">
        <v>2.37697828328115E-2</v>
      </c>
      <c r="C233">
        <f>1/B233</f>
        <v>42.070220289081199</v>
      </c>
      <c r="D233" s="11">
        <v>5.4698603736389698E-2</v>
      </c>
      <c r="E233">
        <f>1/D233</f>
        <v>18.282002312514699</v>
      </c>
    </row>
    <row r="234" spans="1:5" hidden="1">
      <c r="A234" t="s">
        <v>138</v>
      </c>
      <c r="B234" s="11">
        <v>2.05482369511626E-3</v>
      </c>
      <c r="D234" s="11">
        <v>6.8187912222514701E-3</v>
      </c>
    </row>
    <row r="235" spans="1:5" hidden="1"/>
    <row r="236" spans="1:5" hidden="1">
      <c r="B236" s="11" t="s">
        <v>177</v>
      </c>
      <c r="D236" s="11" t="s">
        <v>177</v>
      </c>
    </row>
    <row r="237" spans="1:5" hidden="1">
      <c r="A237" s="12" t="s">
        <v>135</v>
      </c>
      <c r="B237" s="14">
        <v>2.9319770174462899E+17</v>
      </c>
      <c r="D237" s="14">
        <v>2.22013484537795E+21</v>
      </c>
    </row>
    <row r="238" spans="1:5" hidden="1">
      <c r="A238" s="12" t="s">
        <v>136</v>
      </c>
      <c r="B238" s="14">
        <v>8.8352965503906304E+17</v>
      </c>
      <c r="D238" s="14">
        <v>2.1167615524953599E+22</v>
      </c>
    </row>
    <row r="239" spans="1:5">
      <c r="A239" t="s">
        <v>137</v>
      </c>
      <c r="B239" s="11">
        <v>0.24916366569909201</v>
      </c>
      <c r="C239">
        <f>1/B239</f>
        <v>4.0134262641956502</v>
      </c>
      <c r="D239" s="11">
        <v>9.4927250813925695E-2</v>
      </c>
      <c r="E239">
        <f>1/D239</f>
        <v>10.534382818693199</v>
      </c>
    </row>
    <row r="240" spans="1:5" hidden="1">
      <c r="A240" t="s">
        <v>138</v>
      </c>
      <c r="B240" s="11">
        <v>0.22173396256935299</v>
      </c>
      <c r="D240" s="11">
        <v>1.79039852388755E-2</v>
      </c>
    </row>
    <row r="241" spans="1:5" hidden="1"/>
    <row r="242" spans="1:5" hidden="1">
      <c r="B242" s="11" t="s">
        <v>178</v>
      </c>
      <c r="D242" s="11" t="s">
        <v>178</v>
      </c>
    </row>
    <row r="243" spans="1:5" hidden="1">
      <c r="A243" s="12" t="s">
        <v>135</v>
      </c>
      <c r="B243" s="14">
        <v>7.1358898059820203E+31</v>
      </c>
      <c r="D243" s="14">
        <v>7.3640009319264399E+18</v>
      </c>
    </row>
    <row r="244" spans="1:5" hidden="1">
      <c r="A244" s="12" t="s">
        <v>136</v>
      </c>
      <c r="B244" s="14">
        <v>1.10865878080786E+33</v>
      </c>
      <c r="D244" s="14">
        <v>7.8692373237515796E+19</v>
      </c>
    </row>
    <row r="245" spans="1:5">
      <c r="A245" t="s">
        <v>137</v>
      </c>
      <c r="B245" s="11">
        <v>6.0472736415520902E-2</v>
      </c>
      <c r="C245">
        <f>1/B245</f>
        <v>16.536377535965801</v>
      </c>
      <c r="D245" s="11">
        <v>8.5571824318637399E-2</v>
      </c>
      <c r="E245">
        <f>1/D245</f>
        <v>11.686089527276801</v>
      </c>
    </row>
    <row r="246" spans="1:5" hidden="1">
      <c r="A246" t="s">
        <v>138</v>
      </c>
      <c r="B246" s="11">
        <v>8.2932035393639605E-3</v>
      </c>
      <c r="D246" s="11">
        <v>1.23329888074344E-2</v>
      </c>
    </row>
    <row r="247" spans="1:5" hidden="1"/>
    <row r="248" spans="1:5" hidden="1">
      <c r="B248" s="11" t="s">
        <v>179</v>
      </c>
      <c r="D248" s="11" t="s">
        <v>179</v>
      </c>
    </row>
    <row r="249" spans="1:5" hidden="1">
      <c r="A249" s="12" t="s">
        <v>135</v>
      </c>
      <c r="B249" s="14">
        <v>6.7974764577742704E+20</v>
      </c>
      <c r="D249" s="14">
        <v>4.8834788287856097E+18</v>
      </c>
    </row>
    <row r="250" spans="1:5" hidden="1">
      <c r="A250" s="12" t="s">
        <v>136</v>
      </c>
      <c r="B250" s="14">
        <v>3.7939201843210701E+21</v>
      </c>
      <c r="D250" s="14">
        <v>2.9638188877136802E+19</v>
      </c>
    </row>
    <row r="251" spans="1:5">
      <c r="A251" t="s">
        <v>137</v>
      </c>
      <c r="B251" s="11">
        <v>0.151944147753692</v>
      </c>
      <c r="C251">
        <f>1/B251</f>
        <v>6.5813656845872304</v>
      </c>
      <c r="D251" s="11">
        <v>0.14146126630921099</v>
      </c>
      <c r="E251">
        <f>1/D251</f>
        <v>7.0690728712562603</v>
      </c>
    </row>
    <row r="252" spans="1:5" hidden="1">
      <c r="A252" t="s">
        <v>138</v>
      </c>
      <c r="B252" s="11">
        <v>4.1665711267189799E-2</v>
      </c>
      <c r="D252" s="11">
        <v>5.5424555741227101E-2</v>
      </c>
    </row>
    <row r="253" spans="1:5" hidden="1"/>
    <row r="254" spans="1:5" hidden="1">
      <c r="B254" s="11" t="s">
        <v>180</v>
      </c>
      <c r="D254" s="11" t="s">
        <v>180</v>
      </c>
    </row>
    <row r="255" spans="1:5" hidden="1">
      <c r="A255" s="12" t="s">
        <v>135</v>
      </c>
      <c r="B255" s="14">
        <v>2.6502037197187402E+21</v>
      </c>
      <c r="D255" s="14">
        <v>1.66537040580553E+22</v>
      </c>
    </row>
    <row r="256" spans="1:5" hidden="1">
      <c r="A256" s="12" t="s">
        <v>136</v>
      </c>
      <c r="B256" s="14">
        <v>2.3206619930222798E+22</v>
      </c>
      <c r="D256" s="14">
        <v>2.3820783454684099E+23</v>
      </c>
    </row>
    <row r="257" spans="1:5">
      <c r="A257" t="s">
        <v>137</v>
      </c>
      <c r="B257" s="11">
        <v>0.102495331816394</v>
      </c>
      <c r="C257">
        <f>1/B257</f>
        <v>9.7565419056485396</v>
      </c>
      <c r="D257" s="11">
        <v>6.5344124300657905E-2</v>
      </c>
      <c r="E257">
        <f>1/D257</f>
        <v>15.303594786868</v>
      </c>
    </row>
    <row r="258" spans="1:5" hidden="1">
      <c r="A258" t="s">
        <v>138</v>
      </c>
      <c r="B258" s="11">
        <v>2.4154934164700301E-2</v>
      </c>
      <c r="D258" s="11">
        <v>7.8038364991595398E-3</v>
      </c>
    </row>
    <row r="259" spans="1:5" hidden="1"/>
    <row r="260" spans="1:5" hidden="1">
      <c r="B260" s="11" t="s">
        <v>181</v>
      </c>
      <c r="D260" s="11" t="s">
        <v>181</v>
      </c>
    </row>
    <row r="261" spans="1:5" hidden="1">
      <c r="A261" s="12" t="s">
        <v>135</v>
      </c>
      <c r="B261" s="14">
        <v>4.8852232579102499E+19</v>
      </c>
      <c r="D261" s="14">
        <v>3.2200448118650999E+19</v>
      </c>
    </row>
    <row r="262" spans="1:5" hidden="1">
      <c r="A262" s="12" t="s">
        <v>136</v>
      </c>
      <c r="B262" s="14">
        <v>1.01602336589536E+20</v>
      </c>
      <c r="D262" s="14">
        <v>2.6274296120925199E+20</v>
      </c>
    </row>
    <row r="263" spans="1:5">
      <c r="A263" t="s">
        <v>137</v>
      </c>
      <c r="B263" s="11">
        <v>0.32469756717289</v>
      </c>
      <c r="C263">
        <f>1/B263</f>
        <v>3.07978901322514</v>
      </c>
      <c r="D263" s="11">
        <v>0.109175004764565</v>
      </c>
      <c r="E263">
        <f>1/D263</f>
        <v>9.15960573719682</v>
      </c>
    </row>
    <row r="264" spans="1:5" hidden="1">
      <c r="A264" t="s">
        <v>138</v>
      </c>
      <c r="B264" s="11">
        <v>0.53870787739087</v>
      </c>
      <c r="D264" s="11">
        <v>3.01040797621678E-2</v>
      </c>
    </row>
    <row r="265" spans="1:5" hidden="1"/>
    <row r="266" spans="1:5" hidden="1">
      <c r="B266" s="11" t="s">
        <v>182</v>
      </c>
      <c r="D266" s="11" t="s">
        <v>182</v>
      </c>
    </row>
    <row r="267" spans="1:5" hidden="1">
      <c r="A267" s="12" t="s">
        <v>135</v>
      </c>
      <c r="B267" s="14">
        <v>-6.8945742995674405E+20</v>
      </c>
      <c r="D267" s="14">
        <v>1.5923910219030599E+21</v>
      </c>
    </row>
    <row r="268" spans="1:5" hidden="1">
      <c r="A268" s="12" t="s">
        <v>136</v>
      </c>
      <c r="B268" s="14">
        <v>1.9684487765243301E+20</v>
      </c>
      <c r="D268" s="14">
        <v>1.2914573133154699E+22</v>
      </c>
    </row>
    <row r="269" spans="1:5">
      <c r="A269" t="s">
        <v>137</v>
      </c>
      <c r="B269" s="11">
        <v>1.3995937105777001</v>
      </c>
      <c r="C269">
        <f>1/B269</f>
        <v>0.71449306498186305</v>
      </c>
      <c r="D269" s="11">
        <v>0.109767350693279</v>
      </c>
      <c r="E269">
        <f>1/D269</f>
        <v>9.1101770579694694</v>
      </c>
    </row>
    <row r="270" spans="1:5" hidden="1">
      <c r="A270" t="s">
        <v>138</v>
      </c>
      <c r="B270" s="11">
        <v>1.2887942965229799</v>
      </c>
      <c r="D270" s="11">
        <v>2.9808308113035701E-2</v>
      </c>
    </row>
    <row r="271" spans="1:5" hidden="1"/>
    <row r="272" spans="1:5" hidden="1">
      <c r="B272" s="11" t="s">
        <v>183</v>
      </c>
      <c r="D272" s="11" t="s">
        <v>183</v>
      </c>
    </row>
    <row r="273" spans="1:5" hidden="1">
      <c r="A273" s="12" t="s">
        <v>135</v>
      </c>
      <c r="B273" s="14">
        <v>3.58309748004424E+16</v>
      </c>
      <c r="D273" s="14">
        <v>2.1893199833731699E+19</v>
      </c>
    </row>
    <row r="274" spans="1:5" hidden="1">
      <c r="A274" s="12" t="s">
        <v>136</v>
      </c>
      <c r="B274" s="14">
        <v>7.5054701341113296E+16</v>
      </c>
      <c r="D274" s="14">
        <v>3.61149052106064E+20</v>
      </c>
    </row>
    <row r="275" spans="1:5">
      <c r="A275" t="s">
        <v>137</v>
      </c>
      <c r="B275" s="11">
        <v>0.32313438531682698</v>
      </c>
      <c r="C275">
        <f>1/B275</f>
        <v>3.094687676211</v>
      </c>
      <c r="D275" s="11">
        <v>5.7156096286664203E-2</v>
      </c>
      <c r="E275">
        <f>1/D275</f>
        <v>17.4959464513556</v>
      </c>
    </row>
    <row r="276" spans="1:5" hidden="1">
      <c r="A276" t="s">
        <v>138</v>
      </c>
      <c r="B276" s="11">
        <v>0.30915165726772997</v>
      </c>
      <c r="D276" s="11">
        <v>1.2185857225473599E-2</v>
      </c>
    </row>
    <row r="277" spans="1:5" hidden="1"/>
    <row r="278" spans="1:5" hidden="1">
      <c r="B278" s="11" t="s">
        <v>184</v>
      </c>
      <c r="D278" s="11" t="s">
        <v>184</v>
      </c>
    </row>
    <row r="279" spans="1:5" hidden="1">
      <c r="A279" s="12" t="s">
        <v>135</v>
      </c>
      <c r="B279" s="14">
        <v>1.28482873335872E+16</v>
      </c>
      <c r="D279" s="14">
        <v>1.5149789675882699E+20</v>
      </c>
    </row>
    <row r="280" spans="1:5" hidden="1">
      <c r="A280" s="12" t="s">
        <v>136</v>
      </c>
      <c r="B280" s="14">
        <v>1.5691518005511699E+17</v>
      </c>
      <c r="D280" s="14">
        <v>1.7259094997885901E+21</v>
      </c>
    </row>
    <row r="281" spans="1:5">
      <c r="A281" t="s">
        <v>137</v>
      </c>
      <c r="B281" s="11">
        <v>7.5683464359082103E-2</v>
      </c>
      <c r="C281">
        <f>1/B281</f>
        <v>13.212925815016501</v>
      </c>
      <c r="D281" s="11">
        <v>8.0695269997036106E-2</v>
      </c>
      <c r="E281">
        <f>1/D281</f>
        <v>12.3923000695918</v>
      </c>
    </row>
    <row r="282" spans="1:5" hidden="1">
      <c r="A282" t="s">
        <v>138</v>
      </c>
      <c r="B282" s="11">
        <v>1.7294378362530199E-2</v>
      </c>
      <c r="D282" s="11">
        <v>1.02107557870299E-2</v>
      </c>
    </row>
    <row r="283" spans="1:5" hidden="1"/>
    <row r="284" spans="1:5" hidden="1">
      <c r="B284" s="11" t="s">
        <v>185</v>
      </c>
      <c r="D284" s="11" t="s">
        <v>185</v>
      </c>
    </row>
    <row r="285" spans="1:5" hidden="1">
      <c r="A285" s="12" t="s">
        <v>135</v>
      </c>
      <c r="B285" s="14">
        <v>1.3567628165210101E+20</v>
      </c>
      <c r="D285" s="14">
        <v>6.9027388121950003E+19</v>
      </c>
    </row>
    <row r="286" spans="1:5" hidden="1">
      <c r="A286" s="12" t="s">
        <v>136</v>
      </c>
      <c r="B286" s="14">
        <v>9.4573893277955496E+20</v>
      </c>
      <c r="D286" s="14">
        <v>4.5389731754661603E+20</v>
      </c>
    </row>
    <row r="287" spans="1:5">
      <c r="A287" t="s">
        <v>137</v>
      </c>
      <c r="B287" s="11">
        <v>0.12546178363451899</v>
      </c>
      <c r="C287">
        <f>1/B287</f>
        <v>7.9705546265234597</v>
      </c>
      <c r="D287" s="11">
        <v>0.13200253759993499</v>
      </c>
      <c r="E287">
        <f>1/D287</f>
        <v>7.5756119403608499</v>
      </c>
    </row>
    <row r="288" spans="1:5" hidden="1">
      <c r="A288" t="s">
        <v>138</v>
      </c>
      <c r="B288" s="11">
        <v>3.1787868853868299E-2</v>
      </c>
      <c r="D288" s="11">
        <v>3.5901998957746699E-2</v>
      </c>
    </row>
    <row r="289" spans="1:5" hidden="1"/>
    <row r="290" spans="1:5" hidden="1">
      <c r="B290" s="11" t="s">
        <v>186</v>
      </c>
      <c r="D290" s="11" t="s">
        <v>186</v>
      </c>
    </row>
    <row r="291" spans="1:5" hidden="1">
      <c r="A291" s="12" t="s">
        <v>135</v>
      </c>
      <c r="B291" s="14">
        <v>4.7670515175584499E+17</v>
      </c>
      <c r="D291" s="14">
        <v>2.3706482484846101E+22</v>
      </c>
    </row>
    <row r="292" spans="1:5" hidden="1">
      <c r="A292" s="12" t="s">
        <v>136</v>
      </c>
      <c r="B292" s="14">
        <v>4.1723553782038098E+18</v>
      </c>
      <c r="D292" s="14">
        <v>2.7384581506329799E+23</v>
      </c>
    </row>
    <row r="293" spans="1:5">
      <c r="A293" t="s">
        <v>137</v>
      </c>
      <c r="B293" s="11">
        <v>0.102537953352907</v>
      </c>
      <c r="C293">
        <f>1/B293</f>
        <v>9.7524864433199596</v>
      </c>
      <c r="D293" s="11">
        <v>7.9671649925709007E-2</v>
      </c>
      <c r="E293">
        <f>1/D293</f>
        <v>12.551516140715901</v>
      </c>
    </row>
    <row r="294" spans="1:5" hidden="1">
      <c r="A294" t="s">
        <v>138</v>
      </c>
      <c r="B294" s="11">
        <v>5.29420452893598E-2</v>
      </c>
      <c r="D294" s="11">
        <v>1.31818714872263E-2</v>
      </c>
    </row>
    <row r="295" spans="1:5" hidden="1"/>
    <row r="296" spans="1:5" hidden="1">
      <c r="B296" s="11" t="s">
        <v>187</v>
      </c>
      <c r="D296" s="11" t="s">
        <v>187</v>
      </c>
    </row>
    <row r="297" spans="1:5" hidden="1">
      <c r="A297" s="12" t="s">
        <v>135</v>
      </c>
      <c r="B297" s="14">
        <v>4.33225551016205E+18</v>
      </c>
      <c r="D297" s="14">
        <v>3.8814845384589099E+19</v>
      </c>
    </row>
    <row r="298" spans="1:5" hidden="1">
      <c r="A298" s="12" t="s">
        <v>136</v>
      </c>
      <c r="B298" s="14">
        <v>1.01848418657665E+19</v>
      </c>
      <c r="D298" s="14">
        <v>2.6603870214730901E+20</v>
      </c>
    </row>
    <row r="299" spans="1:5">
      <c r="A299" t="s">
        <v>137</v>
      </c>
      <c r="B299" s="11">
        <v>0.29842436114987703</v>
      </c>
      <c r="C299">
        <f>1/B299</f>
        <v>3.3509328666963998</v>
      </c>
      <c r="D299" s="11">
        <v>0.12732292505314399</v>
      </c>
      <c r="E299">
        <f>1/D299</f>
        <v>7.8540451343118702</v>
      </c>
    </row>
    <row r="300" spans="1:5" hidden="1">
      <c r="A300" t="s">
        <v>138</v>
      </c>
      <c r="B300" s="11">
        <v>0.74600662319952604</v>
      </c>
      <c r="D300" s="11">
        <v>3.7931147143662899E-2</v>
      </c>
    </row>
    <row r="301" spans="1:5" hidden="1"/>
    <row r="302" spans="1:5" hidden="1">
      <c r="B302" s="11" t="s">
        <v>188</v>
      </c>
      <c r="D302" s="11" t="s">
        <v>188</v>
      </c>
    </row>
    <row r="303" spans="1:5" hidden="1">
      <c r="A303" s="12" t="s">
        <v>135</v>
      </c>
      <c r="B303" s="14">
        <v>2.40506095772363E+16</v>
      </c>
      <c r="D303" s="14">
        <v>2.0036810545679001E+20</v>
      </c>
    </row>
    <row r="304" spans="1:5" hidden="1">
      <c r="A304" s="12" t="s">
        <v>136</v>
      </c>
      <c r="B304" s="14">
        <v>7.96691090462968E+16</v>
      </c>
      <c r="D304" s="14">
        <v>1.5814072484404601E+21</v>
      </c>
    </row>
    <row r="305" spans="1:5">
      <c r="A305" t="s">
        <v>137</v>
      </c>
      <c r="B305" s="11">
        <v>0.23188078309903301</v>
      </c>
      <c r="C305">
        <f>1/B305</f>
        <v>4.3125609058035401</v>
      </c>
      <c r="D305" s="11">
        <v>0.11245419071406799</v>
      </c>
      <c r="E305">
        <f>1/D305</f>
        <v>8.8925098624617096</v>
      </c>
    </row>
    <row r="306" spans="1:5" hidden="1">
      <c r="A306" t="s">
        <v>138</v>
      </c>
      <c r="B306" s="11">
        <v>0.14819688154902999</v>
      </c>
      <c r="D306" s="11">
        <v>1.9315670584106302E-2</v>
      </c>
    </row>
    <row r="307" spans="1:5" hidden="1"/>
    <row r="308" spans="1:5" hidden="1">
      <c r="B308" s="11" t="s">
        <v>189</v>
      </c>
      <c r="D308" s="11" t="s">
        <v>189</v>
      </c>
    </row>
    <row r="309" spans="1:5" hidden="1">
      <c r="A309" s="12" t="s">
        <v>135</v>
      </c>
      <c r="B309" s="14">
        <v>5.1050324399549997E+19</v>
      </c>
      <c r="D309" s="14">
        <v>9.7562299620010892E+22</v>
      </c>
    </row>
    <row r="310" spans="1:5" hidden="1">
      <c r="A310" s="12" t="s">
        <v>136</v>
      </c>
      <c r="B310" s="14">
        <v>5.0074511298132902E+20</v>
      </c>
      <c r="D310" s="14">
        <v>2.2327018167318899E+23</v>
      </c>
    </row>
    <row r="311" spans="1:5">
      <c r="A311" t="s">
        <v>137</v>
      </c>
      <c r="B311" s="11">
        <v>9.2516757010283696E-2</v>
      </c>
      <c r="C311">
        <f>1/B311</f>
        <v>10.808852712907401</v>
      </c>
      <c r="D311" s="11">
        <v>0.30409109210750801</v>
      </c>
      <c r="E311">
        <f>1/D311</f>
        <v>3.2884883048348601</v>
      </c>
    </row>
    <row r="312" spans="1:5" hidden="1">
      <c r="A312" t="s">
        <v>138</v>
      </c>
      <c r="B312" s="11">
        <v>2.3499920522570002E-2</v>
      </c>
      <c r="D312" s="11">
        <v>0.15036043014994099</v>
      </c>
    </row>
    <row r="313" spans="1:5" hidden="1"/>
    <row r="314" spans="1:5" hidden="1">
      <c r="B314" s="11" t="s">
        <v>190</v>
      </c>
      <c r="D314" s="11" t="s">
        <v>190</v>
      </c>
    </row>
    <row r="315" spans="1:5" hidden="1">
      <c r="A315" s="12" t="s">
        <v>135</v>
      </c>
      <c r="B315" s="14">
        <v>3.1657100813028102E+17</v>
      </c>
      <c r="D315" s="14">
        <v>5.9025691078067603E+23</v>
      </c>
    </row>
    <row r="316" spans="1:5" hidden="1">
      <c r="A316" s="12" t="s">
        <v>136</v>
      </c>
      <c r="B316" s="14">
        <v>6.69492766587379E+18</v>
      </c>
      <c r="D316" s="14">
        <v>4.2285335192025099E+24</v>
      </c>
    </row>
    <row r="317" spans="1:5">
      <c r="A317" t="s">
        <v>137</v>
      </c>
      <c r="B317" s="11">
        <v>4.5150262853789598E-2</v>
      </c>
      <c r="C317">
        <f>1/B317</f>
        <v>22.148265298882201</v>
      </c>
      <c r="D317" s="11">
        <v>0.122490678803546</v>
      </c>
      <c r="E317">
        <f>1/D317</f>
        <v>8.1638865076731904</v>
      </c>
    </row>
    <row r="318" spans="1:5" hidden="1">
      <c r="A318" t="s">
        <v>138</v>
      </c>
      <c r="B318" s="11">
        <v>3.5556102922189498E-3</v>
      </c>
      <c r="D318" s="11">
        <v>2.3753203044171799E-2</v>
      </c>
    </row>
    <row r="319" spans="1:5" hidden="1"/>
    <row r="320" spans="1:5" hidden="1">
      <c r="B320" s="11" t="s">
        <v>191</v>
      </c>
      <c r="D320" s="11" t="s">
        <v>191</v>
      </c>
    </row>
    <row r="321" spans="1:5" hidden="1">
      <c r="A321" s="12" t="s">
        <v>135</v>
      </c>
      <c r="B321" s="14">
        <v>3.51993867578714E+16</v>
      </c>
      <c r="D321" s="14">
        <v>1.07756032515344E+18</v>
      </c>
    </row>
    <row r="322" spans="1:5" hidden="1">
      <c r="A322" s="12" t="s">
        <v>136</v>
      </c>
      <c r="B322" s="14">
        <v>2.21310576364495E+18</v>
      </c>
      <c r="D322" s="14">
        <v>2.0764040248124101E+19</v>
      </c>
    </row>
    <row r="323" spans="1:5">
      <c r="A323" t="s">
        <v>137</v>
      </c>
      <c r="B323" s="11">
        <v>1.5655965006157999E-2</v>
      </c>
      <c r="C323">
        <f>1/B323</f>
        <v>63.873418189595299</v>
      </c>
      <c r="D323" s="11">
        <v>4.9335227129453103E-2</v>
      </c>
      <c r="E323">
        <f>1/D323</f>
        <v>20.269492169886099</v>
      </c>
    </row>
    <row r="324" spans="1:5" hidden="1">
      <c r="A324" t="s">
        <v>138</v>
      </c>
      <c r="B324" s="11">
        <v>7.6556836338108401E-4</v>
      </c>
      <c r="D324" s="11">
        <v>3.9736880312650604E-3</v>
      </c>
    </row>
    <row r="325" spans="1:5" hidden="1"/>
    <row r="326" spans="1:5" hidden="1">
      <c r="B326" s="11" t="s">
        <v>192</v>
      </c>
      <c r="D326" s="11" t="s">
        <v>192</v>
      </c>
    </row>
    <row r="327" spans="1:5" hidden="1">
      <c r="A327" s="12" t="s">
        <v>135</v>
      </c>
      <c r="B327" s="14">
        <v>1.2931136130250899E+20</v>
      </c>
      <c r="D327" s="14">
        <v>6.2518463231121196E+24</v>
      </c>
    </row>
    <row r="328" spans="1:5" hidden="1">
      <c r="A328" s="12" t="s">
        <v>136</v>
      </c>
      <c r="B328" s="14">
        <v>6.74763190242675E+20</v>
      </c>
      <c r="D328" s="14">
        <v>2.3554406656368002E+25</v>
      </c>
    </row>
    <row r="329" spans="1:5">
      <c r="A329" t="s">
        <v>137</v>
      </c>
      <c r="B329" s="11">
        <v>0.160820114321504</v>
      </c>
      <c r="C329">
        <f>1/B329</f>
        <v>6.2181276528683904</v>
      </c>
      <c r="D329" s="11">
        <v>0.20974948872023999</v>
      </c>
      <c r="E329">
        <f>1/D329</f>
        <v>4.7675920742471103</v>
      </c>
    </row>
    <row r="330" spans="1:5" hidden="1">
      <c r="A330" t="s">
        <v>138</v>
      </c>
      <c r="B330" s="11">
        <v>0.193046401666606</v>
      </c>
      <c r="D330" s="11">
        <v>4.9510007319215198E-2</v>
      </c>
    </row>
    <row r="331" spans="1:5" hidden="1"/>
    <row r="332" spans="1:5" hidden="1">
      <c r="B332" s="11" t="s">
        <v>193</v>
      </c>
      <c r="D332" s="11" t="s">
        <v>193</v>
      </c>
    </row>
    <row r="333" spans="1:5" hidden="1">
      <c r="A333" s="12" t="s">
        <v>135</v>
      </c>
      <c r="B333" s="14">
        <v>8.90692632654226E+20</v>
      </c>
      <c r="D333" s="14">
        <v>2.9845098129649099E+19</v>
      </c>
    </row>
    <row r="334" spans="1:5" hidden="1">
      <c r="A334" s="12" t="s">
        <v>136</v>
      </c>
      <c r="B334" s="14">
        <v>7.8878581116651302E+21</v>
      </c>
      <c r="D334" s="14">
        <v>3.3069111914661098E+20</v>
      </c>
    </row>
    <row r="335" spans="1:5">
      <c r="A335" t="s">
        <v>137</v>
      </c>
      <c r="B335" s="11">
        <v>0.10146237785668601</v>
      </c>
      <c r="C335">
        <f>1/B335</f>
        <v>9.8558699404077093</v>
      </c>
      <c r="D335" s="11">
        <v>8.2779750548002004E-2</v>
      </c>
      <c r="E335">
        <f>1/D335</f>
        <v>12.0802490147651</v>
      </c>
    </row>
    <row r="336" spans="1:5" hidden="1">
      <c r="A336" t="s">
        <v>138</v>
      </c>
      <c r="B336" s="11">
        <v>1.7367780187529401E-2</v>
      </c>
      <c r="D336" s="11">
        <v>1.8981290831792601E-2</v>
      </c>
    </row>
    <row r="337" spans="1:5" hidden="1"/>
    <row r="338" spans="1:5" hidden="1">
      <c r="B338" s="11" t="s">
        <v>194</v>
      </c>
      <c r="D338" s="11" t="s">
        <v>194</v>
      </c>
    </row>
    <row r="339" spans="1:5" hidden="1">
      <c r="A339" s="12" t="s">
        <v>135</v>
      </c>
      <c r="B339" s="14">
        <v>5.8335469841952899E+20</v>
      </c>
      <c r="D339" s="14">
        <v>1.67534775113757E+20</v>
      </c>
    </row>
    <row r="340" spans="1:5" hidden="1">
      <c r="A340" s="12" t="s">
        <v>136</v>
      </c>
      <c r="B340" s="14">
        <v>1.8522987220924501E+21</v>
      </c>
      <c r="D340" s="14">
        <v>1.4401524382097201E+21</v>
      </c>
    </row>
    <row r="341" spans="1:5">
      <c r="A341" t="s">
        <v>137</v>
      </c>
      <c r="B341" s="11">
        <v>0.23950644763609499</v>
      </c>
      <c r="C341">
        <f>1/B341</f>
        <v>4.17525294149657</v>
      </c>
      <c r="D341" s="11">
        <v>0.104208563534831</v>
      </c>
      <c r="E341">
        <f>1/D341</f>
        <v>9.5961403370247709</v>
      </c>
    </row>
    <row r="342" spans="1:5" hidden="1">
      <c r="A342" t="s">
        <v>138</v>
      </c>
      <c r="B342" s="11">
        <v>9.42525125200325E-2</v>
      </c>
      <c r="D342" s="11">
        <v>2.1180262064731701E-2</v>
      </c>
    </row>
    <row r="343" spans="1:5" hidden="1"/>
    <row r="344" spans="1:5" hidden="1">
      <c r="B344" s="11" t="s">
        <v>195</v>
      </c>
      <c r="D344" s="11" t="s">
        <v>195</v>
      </c>
    </row>
    <row r="345" spans="1:5" hidden="1">
      <c r="A345" s="12" t="s">
        <v>135</v>
      </c>
      <c r="B345" s="14">
        <v>1.4108930313088E+21</v>
      </c>
      <c r="D345" s="14">
        <v>1.7128120809737699E+20</v>
      </c>
    </row>
    <row r="346" spans="1:5" hidden="1">
      <c r="A346" s="12" t="s">
        <v>136</v>
      </c>
      <c r="B346" s="14">
        <v>1.22400063659959E+22</v>
      </c>
      <c r="D346" s="14">
        <v>2.7837700544747201E+21</v>
      </c>
    </row>
    <row r="347" spans="1:5">
      <c r="A347" t="s">
        <v>137</v>
      </c>
      <c r="B347" s="11">
        <v>0.103355316763038</v>
      </c>
      <c r="C347">
        <f>1/B347</f>
        <v>9.6753609907915301</v>
      </c>
      <c r="D347" s="11">
        <v>5.7962178276491999E-2</v>
      </c>
      <c r="E347">
        <f>1/D347</f>
        <v>17.252629727436801</v>
      </c>
    </row>
    <row r="348" spans="1:5" hidden="1">
      <c r="A348" t="s">
        <v>138</v>
      </c>
      <c r="B348" s="11">
        <v>1.8762073299558601E-2</v>
      </c>
      <c r="D348" s="11">
        <v>8.1664288317743004E-3</v>
      </c>
    </row>
    <row r="349" spans="1:5" hidden="1"/>
    <row r="350" spans="1:5" hidden="1">
      <c r="B350" s="11" t="s">
        <v>196</v>
      </c>
      <c r="D350" s="11" t="s">
        <v>196</v>
      </c>
    </row>
    <row r="351" spans="1:5" hidden="1">
      <c r="A351" s="12" t="s">
        <v>135</v>
      </c>
      <c r="B351" s="14">
        <v>9.6989749255841998E+20</v>
      </c>
      <c r="D351" s="14">
        <v>1.65374993501052E+21</v>
      </c>
    </row>
    <row r="352" spans="1:5" hidden="1">
      <c r="A352" s="12" t="s">
        <v>136</v>
      </c>
      <c r="B352" s="14">
        <v>6.6338027192684603E+20</v>
      </c>
      <c r="D352" s="14">
        <v>5.9089969576457095E+21</v>
      </c>
    </row>
    <row r="353" spans="1:5">
      <c r="A353" t="s">
        <v>137</v>
      </c>
      <c r="B353" s="11">
        <v>0.59383499466429501</v>
      </c>
      <c r="C353">
        <f>1/B353</f>
        <v>1.68396946792487</v>
      </c>
      <c r="D353" s="11">
        <v>0.21867053842782799</v>
      </c>
      <c r="E353">
        <f>1/D353</f>
        <v>4.5730897595519</v>
      </c>
    </row>
    <row r="354" spans="1:5" hidden="1">
      <c r="A354" t="s">
        <v>138</v>
      </c>
      <c r="B354" s="11">
        <v>1.2590465199468399</v>
      </c>
      <c r="D354" s="11">
        <v>8.8761409711660105E-2</v>
      </c>
    </row>
    <row r="355" spans="1:5" hidden="1"/>
    <row r="356" spans="1:5" hidden="1">
      <c r="B356" s="11" t="s">
        <v>197</v>
      </c>
      <c r="D356" s="11" t="s">
        <v>197</v>
      </c>
    </row>
    <row r="357" spans="1:5" hidden="1">
      <c r="A357" s="12" t="s">
        <v>135</v>
      </c>
      <c r="B357" s="14">
        <v>7.84959968583788E+16</v>
      </c>
      <c r="D357" s="14">
        <v>1.73195912197593E+21</v>
      </c>
    </row>
    <row r="358" spans="1:5" hidden="1">
      <c r="A358" s="12" t="s">
        <v>136</v>
      </c>
      <c r="B358" s="14">
        <v>2.1966802737256099E+17</v>
      </c>
      <c r="D358" s="14">
        <v>4.3862360112532703E+22</v>
      </c>
    </row>
    <row r="359" spans="1:5">
      <c r="A359" t="s">
        <v>137</v>
      </c>
      <c r="B359" s="11">
        <v>0.263264480216367</v>
      </c>
      <c r="C359">
        <f>1/B359</f>
        <v>3.7984615287946899</v>
      </c>
      <c r="D359" s="11">
        <v>3.7986291955974097E-2</v>
      </c>
      <c r="E359">
        <f>1/D359</f>
        <v>26.325286004724902</v>
      </c>
    </row>
    <row r="360" spans="1:5" hidden="1">
      <c r="A360" t="s">
        <v>138</v>
      </c>
      <c r="B360" s="11">
        <v>0.167124319814584</v>
      </c>
      <c r="D360" s="11">
        <v>3.4837706120833599E-3</v>
      </c>
    </row>
    <row r="361" spans="1:5" hidden="1"/>
    <row r="362" spans="1:5" hidden="1">
      <c r="B362" s="11" t="s">
        <v>198</v>
      </c>
      <c r="D362" s="11" t="s">
        <v>198</v>
      </c>
    </row>
    <row r="363" spans="1:5" hidden="1">
      <c r="A363" s="12" t="s">
        <v>135</v>
      </c>
      <c r="B363" s="14">
        <v>2.14769219302962E+18</v>
      </c>
      <c r="D363" s="14">
        <v>8.6590384391648805E+19</v>
      </c>
    </row>
    <row r="364" spans="1:5" hidden="1">
      <c r="A364" s="12" t="s">
        <v>136</v>
      </c>
      <c r="B364" s="14">
        <v>3.5887183987450499E+19</v>
      </c>
      <c r="D364" s="14">
        <v>1.1229570585463101E+21</v>
      </c>
    </row>
    <row r="365" spans="1:5">
      <c r="A365" t="s">
        <v>137</v>
      </c>
      <c r="B365" s="11">
        <v>5.6466391078508003E-2</v>
      </c>
      <c r="C365">
        <f>1/B365</f>
        <v>17.709649596866399</v>
      </c>
      <c r="D365" s="11">
        <v>7.1589076474191299E-2</v>
      </c>
      <c r="E365">
        <f>1/D365</f>
        <v>13.9686115431383</v>
      </c>
    </row>
    <row r="366" spans="1:5" hidden="1">
      <c r="A366" t="s">
        <v>138</v>
      </c>
      <c r="B366" s="11">
        <v>7.45916991895161E-3</v>
      </c>
      <c r="D366" s="11">
        <v>6.8248621557331704E-3</v>
      </c>
    </row>
    <row r="367" spans="1:5" hidden="1"/>
    <row r="368" spans="1:5" hidden="1">
      <c r="B368" s="11" t="s">
        <v>199</v>
      </c>
      <c r="D368" s="11" t="s">
        <v>199</v>
      </c>
    </row>
    <row r="369" spans="1:5" hidden="1">
      <c r="A369" s="12" t="s">
        <v>135</v>
      </c>
      <c r="B369" s="14">
        <v>3.6388948410240098E+19</v>
      </c>
      <c r="D369" s="14">
        <v>1.3584640083272899E+21</v>
      </c>
    </row>
    <row r="370" spans="1:5" hidden="1">
      <c r="A370" s="12" t="s">
        <v>136</v>
      </c>
      <c r="B370" s="14">
        <v>7.4254135672219802E+20</v>
      </c>
      <c r="D370" s="14">
        <v>2.3968855290694498E+22</v>
      </c>
    </row>
    <row r="371" spans="1:5">
      <c r="A371" t="s">
        <v>137</v>
      </c>
      <c r="B371" s="11">
        <v>4.6716565231151301E-2</v>
      </c>
      <c r="C371">
        <f>1/B371</f>
        <v>21.405683295679999</v>
      </c>
      <c r="D371" s="11">
        <v>5.3636312326972503E-2</v>
      </c>
      <c r="E371">
        <f>1/D371</f>
        <v>18.644085631836401</v>
      </c>
    </row>
    <row r="372" spans="1:5" hidden="1">
      <c r="A372" t="s">
        <v>138</v>
      </c>
      <c r="B372" s="11">
        <v>2.6247970152801499E-3</v>
      </c>
      <c r="D372" s="11">
        <v>4.4051577724092301E-3</v>
      </c>
    </row>
    <row r="373" spans="1:5" hidden="1"/>
    <row r="374" spans="1:5" hidden="1">
      <c r="B374" s="11" t="s">
        <v>200</v>
      </c>
      <c r="D374" s="11" t="s">
        <v>200</v>
      </c>
    </row>
    <row r="375" spans="1:5" hidden="1">
      <c r="A375" s="12" t="s">
        <v>135</v>
      </c>
      <c r="B375" s="14">
        <v>3.5961684974921902E+20</v>
      </c>
      <c r="D375" s="14">
        <v>2.8304564915878199E+20</v>
      </c>
    </row>
    <row r="376" spans="1:5" hidden="1">
      <c r="A376" s="12" t="s">
        <v>136</v>
      </c>
      <c r="B376" s="14">
        <v>4.97762229501875E+20</v>
      </c>
      <c r="D376" s="14">
        <v>1.3911371514888701E+21</v>
      </c>
    </row>
    <row r="377" spans="1:5">
      <c r="A377" t="s">
        <v>137</v>
      </c>
      <c r="B377" s="11">
        <v>0.41943739759003501</v>
      </c>
      <c r="C377">
        <f>1/B377</f>
        <v>2.3841460149850899</v>
      </c>
      <c r="D377" s="11">
        <v>0.169064960558241</v>
      </c>
      <c r="E377">
        <f>1/D377</f>
        <v>5.9148861875226402</v>
      </c>
    </row>
    <row r="378" spans="1:5" hidden="1">
      <c r="A378" t="s">
        <v>138</v>
      </c>
      <c r="B378" s="11">
        <v>1.3031593234213701</v>
      </c>
      <c r="D378" s="11">
        <v>4.8626842953176402E-2</v>
      </c>
    </row>
    <row r="379" spans="1:5" hidden="1"/>
    <row r="380" spans="1:5" hidden="1">
      <c r="B380" s="11" t="s">
        <v>201</v>
      </c>
      <c r="D380" s="11" t="s">
        <v>201</v>
      </c>
    </row>
    <row r="381" spans="1:5" hidden="1">
      <c r="A381" s="12" t="s">
        <v>135</v>
      </c>
      <c r="B381" s="14">
        <v>3.8262161429053498E+17</v>
      </c>
      <c r="D381" s="14">
        <v>4.1869408058560401E+21</v>
      </c>
    </row>
    <row r="382" spans="1:5" hidden="1">
      <c r="A382" s="12" t="s">
        <v>136</v>
      </c>
      <c r="B382" s="14">
        <v>6.2143493371795904E+17</v>
      </c>
      <c r="D382" s="14">
        <v>5.4244784830177803E+22</v>
      </c>
    </row>
    <row r="383" spans="1:5">
      <c r="A383" t="s">
        <v>137</v>
      </c>
      <c r="B383" s="11">
        <v>0.38107576216643302</v>
      </c>
      <c r="C383">
        <f>1/B383</f>
        <v>2.6241501015833602</v>
      </c>
      <c r="D383" s="11">
        <v>7.1655265359372305E-2</v>
      </c>
      <c r="E383">
        <f>1/D383</f>
        <v>13.9557085579783</v>
      </c>
    </row>
    <row r="384" spans="1:5" hidden="1">
      <c r="A384" t="s">
        <v>138</v>
      </c>
      <c r="B384" s="11">
        <v>0.29021777474876298</v>
      </c>
      <c r="D384" s="11">
        <v>1.1890646043973E-2</v>
      </c>
    </row>
    <row r="385" spans="1:5" hidden="1"/>
    <row r="386" spans="1:5" hidden="1">
      <c r="B386" s="11" t="s">
        <v>202</v>
      </c>
      <c r="D386" s="11" t="s">
        <v>202</v>
      </c>
    </row>
    <row r="387" spans="1:5" hidden="1">
      <c r="A387" s="12" t="s">
        <v>135</v>
      </c>
      <c r="B387" s="14">
        <v>2.3616546440278798E+22</v>
      </c>
      <c r="D387" s="14">
        <v>1.0354261640342E+21</v>
      </c>
    </row>
    <row r="388" spans="1:5" hidden="1">
      <c r="A388" s="12" t="s">
        <v>136</v>
      </c>
      <c r="B388" s="14">
        <v>1.6275299987152299E+23</v>
      </c>
      <c r="D388" s="14">
        <v>1.22316826697902E+22</v>
      </c>
    </row>
    <row r="389" spans="1:5">
      <c r="A389" t="s">
        <v>137</v>
      </c>
      <c r="B389" s="11">
        <v>0.1267189136189</v>
      </c>
      <c r="C389">
        <f>1/B389</f>
        <v>7.8914817957439496</v>
      </c>
      <c r="D389" s="11">
        <v>7.8044597131395194E-2</v>
      </c>
      <c r="E389">
        <f>1/D389</f>
        <v>12.8131867772526</v>
      </c>
    </row>
    <row r="390" spans="1:5" hidden="1">
      <c r="A390" t="s">
        <v>138</v>
      </c>
      <c r="B390" s="11">
        <v>2.9497926696669299E-2</v>
      </c>
      <c r="D390" s="11">
        <v>1.1212822657371901E-2</v>
      </c>
    </row>
    <row r="391" spans="1:5" hidden="1"/>
    <row r="392" spans="1:5" hidden="1">
      <c r="B392" s="11" t="s">
        <v>203</v>
      </c>
      <c r="D392" s="11" t="s">
        <v>203</v>
      </c>
    </row>
    <row r="393" spans="1:5" hidden="1">
      <c r="A393" s="12" t="s">
        <v>135</v>
      </c>
      <c r="B393" s="14">
        <v>1.6406771777561199E+20</v>
      </c>
      <c r="D393" s="14">
        <v>6.1561239720047698E+18</v>
      </c>
    </row>
    <row r="394" spans="1:5" hidden="1">
      <c r="A394" s="12" t="s">
        <v>136</v>
      </c>
      <c r="B394" s="14">
        <v>1.4525569596579801E+21</v>
      </c>
      <c r="D394" s="14">
        <v>8.6341945902295892E+19</v>
      </c>
    </row>
    <row r="395" spans="1:5">
      <c r="A395" t="s">
        <v>137</v>
      </c>
      <c r="B395" s="11">
        <v>0.10148782216789499</v>
      </c>
      <c r="C395">
        <f>1/B395</f>
        <v>9.8533989461874896</v>
      </c>
      <c r="D395" s="11">
        <v>6.6554080321573894E-2</v>
      </c>
      <c r="E395">
        <f>1/D395</f>
        <v>15.025374780452699</v>
      </c>
    </row>
    <row r="396" spans="1:5" hidden="1">
      <c r="A396" t="s">
        <v>138</v>
      </c>
      <c r="B396" s="11">
        <v>1.92889503488923E-2</v>
      </c>
      <c r="D396" s="11">
        <v>1.04586155903227E-2</v>
      </c>
    </row>
    <row r="397" spans="1:5" hidden="1"/>
    <row r="398" spans="1:5" hidden="1">
      <c r="B398" s="11" t="s">
        <v>204</v>
      </c>
      <c r="D398" s="11" t="s">
        <v>204</v>
      </c>
    </row>
    <row r="399" spans="1:5" hidden="1">
      <c r="A399" s="12" t="s">
        <v>135</v>
      </c>
      <c r="B399" s="14">
        <v>1.1976234653216699E+18</v>
      </c>
      <c r="D399" s="14">
        <v>1.05127539051752E+20</v>
      </c>
    </row>
    <row r="400" spans="1:5" hidden="1">
      <c r="A400" s="12" t="s">
        <v>136</v>
      </c>
      <c r="B400" s="14">
        <v>2.27506179922061E+18</v>
      </c>
      <c r="D400" s="14">
        <v>8.2417926267919794E+20</v>
      </c>
    </row>
    <row r="401" spans="1:5">
      <c r="A401" t="s">
        <v>137</v>
      </c>
      <c r="B401" s="11">
        <v>0.34486956752169701</v>
      </c>
      <c r="C401">
        <f>1/B401</f>
        <v>2.8996469801212199</v>
      </c>
      <c r="D401" s="11">
        <v>0.113124684825226</v>
      </c>
      <c r="E401">
        <f>1/D401</f>
        <v>8.8398036338838697</v>
      </c>
    </row>
    <row r="402" spans="1:5" hidden="1">
      <c r="A402" t="s">
        <v>138</v>
      </c>
      <c r="B402" s="11">
        <v>0.42367111776311001</v>
      </c>
      <c r="D402" s="11">
        <v>2.1582053960170999E-2</v>
      </c>
    </row>
    <row r="403" spans="1:5" hidden="1"/>
    <row r="404" spans="1:5" hidden="1">
      <c r="B404" s="11" t="s">
        <v>205</v>
      </c>
      <c r="D404" s="11" t="s">
        <v>205</v>
      </c>
    </row>
    <row r="405" spans="1:5" hidden="1">
      <c r="A405" s="12" t="s">
        <v>135</v>
      </c>
      <c r="B405" s="14">
        <v>2.97572807072696E+16</v>
      </c>
      <c r="D405" s="14">
        <v>1.1471391490583601E+18</v>
      </c>
    </row>
    <row r="406" spans="1:5" hidden="1">
      <c r="A406" s="12" t="s">
        <v>136</v>
      </c>
      <c r="B406" s="14">
        <v>5.4620215326532602E+17</v>
      </c>
      <c r="D406" s="14">
        <v>1.5640603894827801E+19</v>
      </c>
    </row>
    <row r="407" spans="1:5">
      <c r="A407" t="s">
        <v>137</v>
      </c>
      <c r="B407" s="11">
        <v>5.1665584331214202E-2</v>
      </c>
      <c r="C407">
        <f>1/B407</f>
        <v>19.355244171618502</v>
      </c>
      <c r="D407" s="11">
        <v>6.8331945876198702E-2</v>
      </c>
      <c r="E407">
        <f>1/D407</f>
        <v>14.6344434828735</v>
      </c>
    </row>
    <row r="408" spans="1:5" hidden="1">
      <c r="A408" t="s">
        <v>138</v>
      </c>
      <c r="B408" s="11">
        <v>1.42309668719068E-2</v>
      </c>
      <c r="D408" s="11">
        <v>6.86732399411937E-3</v>
      </c>
    </row>
    <row r="409" spans="1:5" hidden="1"/>
    <row r="410" spans="1:5" hidden="1">
      <c r="B410" s="11" t="s">
        <v>206</v>
      </c>
      <c r="D410" s="11" t="s">
        <v>206</v>
      </c>
    </row>
    <row r="411" spans="1:5" hidden="1">
      <c r="A411" s="12" t="s">
        <v>135</v>
      </c>
      <c r="B411" s="14">
        <v>7.7972688510139302E+17</v>
      </c>
      <c r="D411" s="14">
        <v>1.7884790529786599E+19</v>
      </c>
    </row>
    <row r="412" spans="1:5" hidden="1">
      <c r="A412" s="12" t="s">
        <v>136</v>
      </c>
      <c r="B412" s="14">
        <v>2.6866784536883E+18</v>
      </c>
      <c r="D412" s="14">
        <v>2.6741900609275701E+20</v>
      </c>
    </row>
    <row r="413" spans="1:5">
      <c r="A413" t="s">
        <v>137</v>
      </c>
      <c r="B413" s="11">
        <v>0.224938173379815</v>
      </c>
      <c r="C413">
        <f>1/B413</f>
        <v>4.4456660466939502</v>
      </c>
      <c r="D413" s="11">
        <v>6.2686829763601598E-2</v>
      </c>
      <c r="E413">
        <f>1/D413</f>
        <v>15.952314126764801</v>
      </c>
    </row>
    <row r="414" spans="1:5" hidden="1">
      <c r="A414" t="s">
        <v>138</v>
      </c>
      <c r="B414" s="11">
        <v>0.28458960348448198</v>
      </c>
      <c r="D414" s="11">
        <v>1.21482366453146E-2</v>
      </c>
    </row>
    <row r="415" spans="1:5" hidden="1"/>
    <row r="416" spans="1:5" hidden="1">
      <c r="B416" s="11" t="s">
        <v>207</v>
      </c>
      <c r="D416" s="11" t="s">
        <v>207</v>
      </c>
    </row>
    <row r="417" spans="1:5" hidden="1">
      <c r="A417" s="12" t="s">
        <v>135</v>
      </c>
      <c r="B417" s="14">
        <v>1.91487618403718E+20</v>
      </c>
      <c r="D417" s="14">
        <v>7.5411368352239895E+19</v>
      </c>
    </row>
    <row r="418" spans="1:5" hidden="1">
      <c r="A418" s="12" t="s">
        <v>136</v>
      </c>
      <c r="B418" s="14">
        <v>3.4357511938757702E+21</v>
      </c>
      <c r="D418" s="14">
        <v>1.3979693861260401E+21</v>
      </c>
    </row>
    <row r="419" spans="1:5">
      <c r="A419" t="s">
        <v>137</v>
      </c>
      <c r="B419" s="11">
        <v>5.2791566343926601E-2</v>
      </c>
      <c r="C419">
        <f>1/B419</f>
        <v>18.942419580529201</v>
      </c>
      <c r="D419" s="11">
        <v>5.1182539287980902E-2</v>
      </c>
      <c r="E419">
        <f>1/D419</f>
        <v>19.537913005321101</v>
      </c>
    </row>
    <row r="420" spans="1:5" hidden="1">
      <c r="A420" t="s">
        <v>138</v>
      </c>
      <c r="B420" s="11">
        <v>3.6795399896858401E-3</v>
      </c>
      <c r="D420" s="11">
        <v>4.05453743864931E-3</v>
      </c>
    </row>
    <row r="421" spans="1:5" hidden="1"/>
    <row r="422" spans="1:5" hidden="1">
      <c r="B422" s="11" t="s">
        <v>208</v>
      </c>
      <c r="D422" s="11" t="s">
        <v>208</v>
      </c>
    </row>
    <row r="423" spans="1:5" hidden="1">
      <c r="A423" s="12" t="s">
        <v>135</v>
      </c>
      <c r="B423" s="14">
        <v>3.9008232801776296E+19</v>
      </c>
      <c r="D423" s="14">
        <v>5.8412236109804198E+21</v>
      </c>
    </row>
    <row r="424" spans="1:5" hidden="1">
      <c r="A424" s="12" t="s">
        <v>136</v>
      </c>
      <c r="B424" s="14">
        <v>2.1348190376994202E+19</v>
      </c>
      <c r="D424" s="14">
        <v>2.6811027210227799E+22</v>
      </c>
    </row>
    <row r="425" spans="1:5">
      <c r="A425" t="s">
        <v>137</v>
      </c>
      <c r="B425" s="11">
        <v>0.64629795384390598</v>
      </c>
      <c r="C425">
        <f>1/B425</f>
        <v>1.54727396868956</v>
      </c>
      <c r="D425" s="11">
        <v>0.17889191293319401</v>
      </c>
      <c r="E425">
        <f>1/D425</f>
        <v>5.5899676156598703</v>
      </c>
    </row>
    <row r="426" spans="1:5" hidden="1">
      <c r="A426" t="s">
        <v>138</v>
      </c>
      <c r="B426" s="11">
        <v>3.4874951119154902</v>
      </c>
      <c r="D426" s="11">
        <v>5.5432497271549197E-2</v>
      </c>
    </row>
    <row r="427" spans="1:5" hidden="1"/>
    <row r="428" spans="1:5" hidden="1">
      <c r="B428" s="11" t="s">
        <v>209</v>
      </c>
      <c r="D428" s="11" t="s">
        <v>209</v>
      </c>
    </row>
    <row r="429" spans="1:5" hidden="1">
      <c r="A429" s="12" t="s">
        <v>135</v>
      </c>
      <c r="B429" s="14">
        <v>4.3279958484174397E+19</v>
      </c>
      <c r="D429" s="14">
        <v>6.7990344314304804E+20</v>
      </c>
    </row>
    <row r="430" spans="1:5" hidden="1">
      <c r="A430" s="12" t="s">
        <v>136</v>
      </c>
      <c r="B430" s="14">
        <v>2.91822957777526E+20</v>
      </c>
      <c r="D430" s="14">
        <v>8.7010364443008896E+21</v>
      </c>
    </row>
    <row r="431" spans="1:5">
      <c r="A431" t="s">
        <v>137</v>
      </c>
      <c r="B431" s="11">
        <v>0.129154228101001</v>
      </c>
      <c r="C431">
        <f>1/B431</f>
        <v>7.74268109301061</v>
      </c>
      <c r="D431" s="11">
        <v>7.24771133064262E-2</v>
      </c>
      <c r="E431">
        <f>1/D431</f>
        <v>13.7974590098822</v>
      </c>
    </row>
    <row r="432" spans="1:5" hidden="1">
      <c r="A432" t="s">
        <v>138</v>
      </c>
      <c r="B432" s="11">
        <v>3.3674332233864498E-2</v>
      </c>
      <c r="D432" s="11">
        <v>4.8970313243530596E-3</v>
      </c>
    </row>
    <row r="433" spans="1:5" hidden="1"/>
    <row r="434" spans="1:5" hidden="1">
      <c r="B434" s="11" t="s">
        <v>210</v>
      </c>
      <c r="D434" s="11" t="s">
        <v>210</v>
      </c>
    </row>
    <row r="435" spans="1:5" hidden="1">
      <c r="A435" s="12" t="s">
        <v>135</v>
      </c>
      <c r="B435" s="14">
        <v>1.3912710846166899E+21</v>
      </c>
      <c r="D435" s="14">
        <v>2.6951628600724501E+20</v>
      </c>
    </row>
    <row r="436" spans="1:5" hidden="1">
      <c r="A436" s="12" t="s">
        <v>136</v>
      </c>
      <c r="B436" s="14">
        <v>8.6069128988062405E+21</v>
      </c>
      <c r="D436" s="14">
        <v>2.1310772193647201E+21</v>
      </c>
    </row>
    <row r="437" spans="1:5">
      <c r="A437" t="s">
        <v>137</v>
      </c>
      <c r="B437" s="11">
        <v>0.13915237876432601</v>
      </c>
      <c r="C437">
        <f>1/B437</f>
        <v>7.1863665492462703</v>
      </c>
      <c r="D437" s="11">
        <v>0.112270688646008</v>
      </c>
      <c r="E437">
        <f>1/D437</f>
        <v>8.9070443235012302</v>
      </c>
    </row>
    <row r="438" spans="1:5" hidden="1">
      <c r="A438" t="s">
        <v>138</v>
      </c>
      <c r="B438" s="11">
        <v>4.4072859769293198E-2</v>
      </c>
      <c r="D438" s="11">
        <v>2.9781123516719001E-2</v>
      </c>
    </row>
    <row r="439" spans="1:5" hidden="1"/>
    <row r="440" spans="1:5" hidden="1">
      <c r="B440" s="11" t="s">
        <v>211</v>
      </c>
      <c r="D440" s="11" t="s">
        <v>211</v>
      </c>
    </row>
    <row r="441" spans="1:5" hidden="1">
      <c r="A441" s="12" t="s">
        <v>135</v>
      </c>
      <c r="B441" s="14">
        <v>7.7291289610336304E+16</v>
      </c>
      <c r="D441" s="14">
        <v>8.6784920982623896E+19</v>
      </c>
    </row>
    <row r="442" spans="1:5" hidden="1">
      <c r="A442" s="12" t="s">
        <v>136</v>
      </c>
      <c r="B442" s="14">
        <v>5.5572374882808397E+17</v>
      </c>
      <c r="D442" s="14">
        <v>5.3272016281380697E+20</v>
      </c>
    </row>
    <row r="443" spans="1:5">
      <c r="A443" t="s">
        <v>137</v>
      </c>
      <c r="B443" s="11">
        <v>0.122100242359179</v>
      </c>
      <c r="C443">
        <f>1/B443</f>
        <v>8.1899919334994191</v>
      </c>
      <c r="D443" s="11">
        <v>0.14008750412634399</v>
      </c>
      <c r="E443">
        <f>1/D443</f>
        <v>7.1383954353138197</v>
      </c>
    </row>
    <row r="444" spans="1:5" hidden="1">
      <c r="A444" t="s">
        <v>138</v>
      </c>
      <c r="B444" s="11">
        <v>5.6856933522833698E-2</v>
      </c>
      <c r="D444" s="11">
        <v>3.8450552887646101E-2</v>
      </c>
    </row>
    <row r="445" spans="1:5" hidden="1"/>
    <row r="446" spans="1:5" hidden="1">
      <c r="B446" s="11" t="s">
        <v>212</v>
      </c>
      <c r="D446" s="11" t="s">
        <v>212</v>
      </c>
    </row>
    <row r="447" spans="1:5" hidden="1">
      <c r="A447" s="12" t="s">
        <v>135</v>
      </c>
      <c r="B447" s="14">
        <v>1.4728874897343699E+17</v>
      </c>
      <c r="D447" s="14">
        <v>3.7688896125994697E+19</v>
      </c>
    </row>
    <row r="448" spans="1:5" hidden="1">
      <c r="A448" s="12" t="s">
        <v>136</v>
      </c>
      <c r="B448" s="14">
        <v>2.12852048632195E+18</v>
      </c>
      <c r="D448" s="14">
        <v>1.04169755049777E+21</v>
      </c>
    </row>
    <row r="449" spans="1:5">
      <c r="A449" t="s">
        <v>137</v>
      </c>
      <c r="B449" s="11">
        <v>6.4719286084766806E-2</v>
      </c>
      <c r="C449">
        <f>1/B449</f>
        <v>15.4513447303828</v>
      </c>
      <c r="D449" s="11">
        <v>3.4916962542824503E-2</v>
      </c>
      <c r="E449">
        <f>1/D449</f>
        <v>28.6393754546528</v>
      </c>
    </row>
    <row r="450" spans="1:5" hidden="1">
      <c r="A450" t="s">
        <v>138</v>
      </c>
      <c r="B450" s="11">
        <v>5.8410836040362702E-3</v>
      </c>
      <c r="D450" s="11">
        <v>2.3007181251170801E-3</v>
      </c>
    </row>
    <row r="451" spans="1:5" hidden="1"/>
    <row r="452" spans="1:5" hidden="1">
      <c r="B452" s="11" t="s">
        <v>213</v>
      </c>
      <c r="D452" s="11" t="s">
        <v>213</v>
      </c>
    </row>
    <row r="453" spans="1:5" hidden="1">
      <c r="A453" s="12" t="s">
        <v>135</v>
      </c>
      <c r="B453" s="14">
        <v>3.3089523116412E+16</v>
      </c>
      <c r="D453" s="14">
        <v>9.2017573676779098E+17</v>
      </c>
    </row>
    <row r="454" spans="1:5" hidden="1">
      <c r="A454" s="12" t="s">
        <v>136</v>
      </c>
      <c r="B454" s="14">
        <v>2.658091157027E+17</v>
      </c>
      <c r="D454" s="14">
        <v>1.6536051327683299E+19</v>
      </c>
    </row>
    <row r="455" spans="1:5">
      <c r="A455" t="s">
        <v>137</v>
      </c>
      <c r="B455" s="11">
        <v>0.11070483039716</v>
      </c>
      <c r="C455">
        <f>1/B455</f>
        <v>9.0330295111102394</v>
      </c>
      <c r="D455" s="11">
        <v>5.2713323066339503E-2</v>
      </c>
      <c r="E455">
        <f>1/D455</f>
        <v>18.970536134508201</v>
      </c>
    </row>
    <row r="456" spans="1:5" hidden="1">
      <c r="A456" t="s">
        <v>138</v>
      </c>
      <c r="B456" s="11">
        <v>2.5484433266562599E-2</v>
      </c>
      <c r="D456" s="11">
        <v>5.3120311308354597E-3</v>
      </c>
    </row>
    <row r="457" spans="1:5" hidden="1"/>
    <row r="458" spans="1:5" hidden="1">
      <c r="B458" s="11" t="s">
        <v>214</v>
      </c>
      <c r="D458" s="11" t="s">
        <v>214</v>
      </c>
    </row>
    <row r="459" spans="1:5" hidden="1">
      <c r="A459" s="12" t="s">
        <v>135</v>
      </c>
      <c r="B459" s="14">
        <v>7.2944695323327703E+18</v>
      </c>
      <c r="D459" s="14">
        <v>7.0841447849408399E+18</v>
      </c>
    </row>
    <row r="460" spans="1:5" hidden="1">
      <c r="A460" s="12" t="s">
        <v>136</v>
      </c>
      <c r="B460" s="14">
        <v>5.2958611700489396E+19</v>
      </c>
      <c r="D460" s="14">
        <v>1.39903179497505E+20</v>
      </c>
    </row>
    <row r="461" spans="1:5">
      <c r="A461" t="s">
        <v>137</v>
      </c>
      <c r="B461" s="11">
        <v>0.12106384243067</v>
      </c>
      <c r="C461">
        <f>1/B461</f>
        <v>8.2601045855014306</v>
      </c>
      <c r="D461" s="11">
        <v>4.8195616999790997E-2</v>
      </c>
      <c r="E461">
        <f>1/D461</f>
        <v>20.748774727883202</v>
      </c>
    </row>
    <row r="462" spans="1:5" hidden="1">
      <c r="A462" t="s">
        <v>138</v>
      </c>
      <c r="B462" s="11">
        <v>3.4150779457492203E-2</v>
      </c>
      <c r="D462" s="11">
        <v>5.89800881613074E-3</v>
      </c>
    </row>
    <row r="463" spans="1:5" hidden="1"/>
    <row r="464" spans="1:5" hidden="1">
      <c r="B464" s="11" t="s">
        <v>215</v>
      </c>
      <c r="D464" s="11" t="s">
        <v>215</v>
      </c>
    </row>
    <row r="465" spans="1:5" hidden="1">
      <c r="A465" s="12" t="s">
        <v>135</v>
      </c>
      <c r="B465" s="14">
        <v>1.0113616938256399E+18</v>
      </c>
      <c r="D465" s="14">
        <v>1.0795236861136E+20</v>
      </c>
    </row>
    <row r="466" spans="1:5" hidden="1">
      <c r="A466" s="12" t="s">
        <v>136</v>
      </c>
      <c r="B466" s="14">
        <v>5.5221375106019297E+18</v>
      </c>
      <c r="D466" s="14">
        <v>1.1980043845288101E+21</v>
      </c>
    </row>
    <row r="467" spans="1:5">
      <c r="A467" t="s">
        <v>137</v>
      </c>
      <c r="B467" s="11">
        <v>0.15479632922282499</v>
      </c>
      <c r="C467">
        <f>1/B467</f>
        <v>6.4601015089997897</v>
      </c>
      <c r="D467" s="11">
        <v>8.2661518730837394E-2</v>
      </c>
      <c r="E467">
        <f>1/D467</f>
        <v>12.0975275479296</v>
      </c>
    </row>
    <row r="468" spans="1:5" hidden="1">
      <c r="A468" t="s">
        <v>138</v>
      </c>
      <c r="B468" s="11">
        <v>7.2725998093547697E-2</v>
      </c>
      <c r="D468" s="11">
        <v>1.2173892366061499E-2</v>
      </c>
    </row>
    <row r="469" spans="1:5" hidden="1"/>
    <row r="470" spans="1:5" hidden="1">
      <c r="B470" s="11" t="s">
        <v>216</v>
      </c>
      <c r="D470" s="11" t="s">
        <v>216</v>
      </c>
    </row>
    <row r="471" spans="1:5" hidden="1">
      <c r="A471" s="12" t="s">
        <v>135</v>
      </c>
      <c r="B471" s="14">
        <v>4.9788530350593198E+18</v>
      </c>
      <c r="D471" s="14">
        <v>1.6134535506617399E+19</v>
      </c>
    </row>
    <row r="472" spans="1:5" hidden="1">
      <c r="A472" s="12" t="s">
        <v>136</v>
      </c>
      <c r="B472" s="14">
        <v>1.5139802339226799E+20</v>
      </c>
      <c r="D472" s="14">
        <v>2.3495580993497799E+20</v>
      </c>
    </row>
    <row r="473" spans="1:5">
      <c r="A473" t="s">
        <v>137</v>
      </c>
      <c r="B473" s="11">
        <v>3.1838806023044702E-2</v>
      </c>
      <c r="C473">
        <f>1/B473</f>
        <v>31.408212961133199</v>
      </c>
      <c r="D473" s="11">
        <v>6.4257888841729102E-2</v>
      </c>
      <c r="E473">
        <f>1/D473</f>
        <v>15.5622915415578</v>
      </c>
    </row>
    <row r="474" spans="1:5" hidden="1">
      <c r="A474" t="s">
        <v>138</v>
      </c>
      <c r="B474" s="11">
        <v>1.8224541364706001E-3</v>
      </c>
      <c r="D474" s="11">
        <v>1.2607262687090099E-2</v>
      </c>
    </row>
    <row r="475" spans="1:5" hidden="1"/>
    <row r="476" spans="1:5" hidden="1">
      <c r="B476" s="11" t="s">
        <v>217</v>
      </c>
      <c r="D476" s="11" t="s">
        <v>217</v>
      </c>
    </row>
    <row r="477" spans="1:5" hidden="1">
      <c r="A477" s="12" t="s">
        <v>135</v>
      </c>
      <c r="B477" s="14">
        <v>1.28692489445517E+20</v>
      </c>
      <c r="D477" s="14">
        <v>1.7136241735400801E+22</v>
      </c>
    </row>
    <row r="478" spans="1:5" hidden="1">
      <c r="A478" s="12" t="s">
        <v>136</v>
      </c>
      <c r="B478" s="14">
        <v>1.5381209375851299E+20</v>
      </c>
      <c r="D478" s="14">
        <v>9.4272720116038603E+22</v>
      </c>
    </row>
    <row r="479" spans="1:5">
      <c r="A479" t="s">
        <v>137</v>
      </c>
      <c r="B479" s="11">
        <v>0.45554124462672202</v>
      </c>
      <c r="C479">
        <f>1/B479</f>
        <v>2.1951909114605299</v>
      </c>
      <c r="D479" s="11">
        <v>0.15381385348740101</v>
      </c>
      <c r="E479">
        <f>1/D479</f>
        <v>6.50136497673736</v>
      </c>
    </row>
    <row r="480" spans="1:5" hidden="1">
      <c r="A480" t="s">
        <v>138</v>
      </c>
      <c r="B480" s="11">
        <v>0.77115192170568903</v>
      </c>
      <c r="D480" s="11">
        <v>3.2520194255507798E-2</v>
      </c>
    </row>
    <row r="481" spans="1:5" hidden="1"/>
    <row r="482" spans="1:5" hidden="1">
      <c r="B482" s="11" t="s">
        <v>218</v>
      </c>
      <c r="D482" s="11" t="s">
        <v>218</v>
      </c>
    </row>
    <row r="483" spans="1:5" hidden="1">
      <c r="A483" s="12" t="s">
        <v>135</v>
      </c>
      <c r="B483" s="14">
        <v>5.3154269138621204E+18</v>
      </c>
      <c r="D483" s="14">
        <v>7.6424464336193192E+19</v>
      </c>
    </row>
    <row r="484" spans="1:5" hidden="1">
      <c r="A484" s="12" t="s">
        <v>136</v>
      </c>
      <c r="B484" s="14">
        <v>7.2636592065611801E+19</v>
      </c>
      <c r="D484" s="14">
        <v>9.8632691620257504E+20</v>
      </c>
    </row>
    <row r="485" spans="1:5">
      <c r="A485" t="s">
        <v>137</v>
      </c>
      <c r="B485" s="11">
        <v>6.8188444423251698E-2</v>
      </c>
      <c r="C485">
        <f>1/B485</f>
        <v>14.665241427021099</v>
      </c>
      <c r="D485" s="11">
        <v>7.1911893727627393E-2</v>
      </c>
      <c r="E485">
        <f>1/D485</f>
        <v>13.905905520825099</v>
      </c>
    </row>
    <row r="486" spans="1:5" hidden="1">
      <c r="A486" t="s">
        <v>138</v>
      </c>
      <c r="B486" s="11">
        <v>1.0652700188167E-2</v>
      </c>
      <c r="D486" s="11">
        <v>6.2163877553029802E-3</v>
      </c>
    </row>
    <row r="487" spans="1:5" hidden="1"/>
    <row r="488" spans="1:5" hidden="1">
      <c r="B488" s="11" t="s">
        <v>219</v>
      </c>
      <c r="D488" s="11" t="s">
        <v>219</v>
      </c>
    </row>
    <row r="489" spans="1:5" hidden="1">
      <c r="A489" s="12" t="s">
        <v>135</v>
      </c>
      <c r="B489" s="14">
        <v>2.09936237555419E+16</v>
      </c>
      <c r="D489" s="14">
        <v>2.0205676348227901E+17</v>
      </c>
    </row>
    <row r="490" spans="1:5" hidden="1">
      <c r="A490" s="12" t="s">
        <v>136</v>
      </c>
      <c r="B490" s="14">
        <v>4.7711301553749696E+16</v>
      </c>
      <c r="D490" s="14">
        <v>1.7169519299738099E+18</v>
      </c>
    </row>
    <row r="491" spans="1:5">
      <c r="A491" t="s">
        <v>137</v>
      </c>
      <c r="B491" s="11">
        <v>0.30556213635389501</v>
      </c>
      <c r="C491">
        <f>1/B491</f>
        <v>3.27265678900027</v>
      </c>
      <c r="D491" s="11">
        <v>0.105292260619403</v>
      </c>
      <c r="E491">
        <f>1/D491</f>
        <v>9.4973742050678496</v>
      </c>
    </row>
    <row r="492" spans="1:5" hidden="1">
      <c r="A492" t="s">
        <v>138</v>
      </c>
      <c r="B492" s="11">
        <v>9.6658962533387904E-2</v>
      </c>
      <c r="D492" s="11">
        <v>3.31872223273698E-2</v>
      </c>
    </row>
    <row r="493" spans="1:5" hidden="1"/>
    <row r="494" spans="1:5" hidden="1">
      <c r="B494" s="11" t="s">
        <v>220</v>
      </c>
      <c r="D494" s="11" t="s">
        <v>220</v>
      </c>
    </row>
    <row r="495" spans="1:5" hidden="1">
      <c r="A495" s="12" t="s">
        <v>135</v>
      </c>
      <c r="B495" s="14">
        <v>6.0324813764968397E+18</v>
      </c>
      <c r="D495" s="14">
        <v>5.9306112287297495E+18</v>
      </c>
    </row>
    <row r="496" spans="1:5" hidden="1">
      <c r="A496" s="12" t="s">
        <v>136</v>
      </c>
      <c r="B496" s="14">
        <v>9.2561232813567304E+18</v>
      </c>
      <c r="D496" s="14">
        <v>4.0023477454811496E+19</v>
      </c>
    </row>
    <row r="497" spans="1:5">
      <c r="A497" t="s">
        <v>137</v>
      </c>
      <c r="B497" s="11">
        <v>0.39457370450075802</v>
      </c>
      <c r="C497">
        <f>1/B497</f>
        <v>2.5343807471034299</v>
      </c>
      <c r="D497" s="11">
        <v>0.12905513739093699</v>
      </c>
      <c r="E497">
        <f>1/D497</f>
        <v>7.7486260540777696</v>
      </c>
    </row>
    <row r="498" spans="1:5" hidden="1">
      <c r="A498" t="s">
        <v>138</v>
      </c>
      <c r="B498" s="11">
        <v>0.33626967932410201</v>
      </c>
      <c r="D498" s="11">
        <v>5.2023171621905902E-2</v>
      </c>
    </row>
    <row r="499" spans="1:5" hidden="1"/>
    <row r="500" spans="1:5" hidden="1">
      <c r="B500" s="11" t="s">
        <v>221</v>
      </c>
      <c r="D500" s="11" t="s">
        <v>221</v>
      </c>
    </row>
    <row r="501" spans="1:5" hidden="1">
      <c r="A501" s="12" t="s">
        <v>135</v>
      </c>
      <c r="B501" s="14">
        <v>8.04846329765348E+16</v>
      </c>
      <c r="D501" s="14">
        <v>3.59681245949662E+18</v>
      </c>
    </row>
    <row r="502" spans="1:5" hidden="1">
      <c r="A502" s="12" t="s">
        <v>136</v>
      </c>
      <c r="B502" s="14">
        <v>2.5500490857875E+18</v>
      </c>
      <c r="D502" s="14">
        <v>6.8211248943686304E+19</v>
      </c>
    </row>
    <row r="503" spans="1:5">
      <c r="A503" t="s">
        <v>137</v>
      </c>
      <c r="B503" s="11">
        <v>3.0596312984860902E-2</v>
      </c>
      <c r="C503">
        <f>1/B503</f>
        <v>32.683676640868498</v>
      </c>
      <c r="D503" s="11">
        <v>5.00892572395387E-2</v>
      </c>
      <c r="E503">
        <f>1/D503</f>
        <v>19.964360725449801</v>
      </c>
    </row>
    <row r="504" spans="1:5" hidden="1">
      <c r="A504" t="s">
        <v>138</v>
      </c>
      <c r="B504" s="11">
        <v>3.6019574338734301E-3</v>
      </c>
      <c r="D504" s="11">
        <v>5.2615145468868502E-3</v>
      </c>
    </row>
    <row r="505" spans="1:5" hidden="1"/>
    <row r="506" spans="1:5" hidden="1">
      <c r="B506" s="11" t="s">
        <v>222</v>
      </c>
      <c r="D506" s="11" t="s">
        <v>222</v>
      </c>
    </row>
    <row r="507" spans="1:5" hidden="1">
      <c r="A507" s="12" t="s">
        <v>135</v>
      </c>
      <c r="B507" s="14">
        <v>6.3983147860213696E+17</v>
      </c>
      <c r="D507" s="14">
        <v>4.5292245206617099E+21</v>
      </c>
    </row>
    <row r="508" spans="1:5" hidden="1">
      <c r="A508" s="12" t="s">
        <v>136</v>
      </c>
      <c r="B508" s="14">
        <v>2.8866029221043799E+18</v>
      </c>
      <c r="D508" s="14">
        <v>3.5295832557915099E+22</v>
      </c>
    </row>
    <row r="509" spans="1:5">
      <c r="A509" t="s">
        <v>137</v>
      </c>
      <c r="B509" s="11">
        <v>0.18143864478918001</v>
      </c>
      <c r="C509">
        <f>1/B509</f>
        <v>5.5115050113052604</v>
      </c>
      <c r="D509" s="11">
        <v>0.11372801077787</v>
      </c>
      <c r="E509">
        <f>1/D509</f>
        <v>8.7929085645678704</v>
      </c>
    </row>
    <row r="510" spans="1:5" hidden="1">
      <c r="A510" t="s">
        <v>138</v>
      </c>
      <c r="B510" s="11">
        <v>9.01539158161343E-2</v>
      </c>
      <c r="D510" s="11">
        <v>2.2339090605198501E-2</v>
      </c>
    </row>
    <row r="511" spans="1:5" hidden="1"/>
    <row r="512" spans="1:5" hidden="1">
      <c r="B512" s="11" t="s">
        <v>223</v>
      </c>
      <c r="D512" s="11" t="s">
        <v>223</v>
      </c>
    </row>
    <row r="513" spans="1:5" hidden="1">
      <c r="A513" s="12" t="s">
        <v>135</v>
      </c>
      <c r="B513" s="14">
        <v>7.1827427709702502E+18</v>
      </c>
      <c r="D513" s="14">
        <v>6.7615281548101799E+20</v>
      </c>
    </row>
    <row r="514" spans="1:5" hidden="1">
      <c r="A514" s="12" t="s">
        <v>136</v>
      </c>
      <c r="B514" s="14">
        <v>9.6859391800542396E+19</v>
      </c>
      <c r="D514" s="14">
        <v>1.2716496385360699E+22</v>
      </c>
    </row>
    <row r="515" spans="1:5">
      <c r="A515" t="s">
        <v>137</v>
      </c>
      <c r="B515" s="11">
        <v>6.9036864733232103E-2</v>
      </c>
      <c r="C515">
        <f>1/B515</f>
        <v>14.485014692717201</v>
      </c>
      <c r="D515" s="11">
        <v>5.0486860765271299E-2</v>
      </c>
      <c r="E515">
        <f>1/D515</f>
        <v>19.8071336748249</v>
      </c>
    </row>
    <row r="516" spans="1:5" hidden="1">
      <c r="A516" t="s">
        <v>138</v>
      </c>
      <c r="B516" s="11">
        <v>6.4433635578641504E-3</v>
      </c>
      <c r="D516" s="11">
        <v>2.9476172769617999E-3</v>
      </c>
    </row>
    <row r="517" spans="1:5" hidden="1"/>
    <row r="518" spans="1:5" hidden="1">
      <c r="B518" s="11" t="s">
        <v>224</v>
      </c>
      <c r="D518" s="11" t="s">
        <v>224</v>
      </c>
    </row>
    <row r="519" spans="1:5" hidden="1">
      <c r="A519" s="12" t="s">
        <v>135</v>
      </c>
      <c r="B519" s="14">
        <v>1.25816415644703E+16</v>
      </c>
      <c r="D519" s="14">
        <v>6.4561335662576794E+17</v>
      </c>
    </row>
    <row r="520" spans="1:5" hidden="1">
      <c r="A520" s="12" t="s">
        <v>136</v>
      </c>
      <c r="B520" s="14">
        <v>5.8209760454595302E+17</v>
      </c>
      <c r="D520" s="14">
        <v>1.88704630069149E+19</v>
      </c>
    </row>
    <row r="521" spans="1:5">
      <c r="A521" t="s">
        <v>137</v>
      </c>
      <c r="B521" s="11">
        <v>2.11570214477169E-2</v>
      </c>
      <c r="C521">
        <f>1/B521</f>
        <v>47.265632474362903</v>
      </c>
      <c r="D521" s="11">
        <v>3.3081104244492503E-2</v>
      </c>
      <c r="E521">
        <f>1/D521</f>
        <v>30.228737003737901</v>
      </c>
    </row>
    <row r="522" spans="1:5" hidden="1">
      <c r="A522" t="s">
        <v>138</v>
      </c>
      <c r="B522" s="11">
        <v>4.1563814836248898E-4</v>
      </c>
      <c r="D522" s="11">
        <v>2.5101131401958298E-3</v>
      </c>
    </row>
    <row r="523" spans="1:5" hidden="1"/>
    <row r="524" spans="1:5" hidden="1">
      <c r="B524" s="11" t="s">
        <v>225</v>
      </c>
      <c r="D524" s="11" t="s">
        <v>225</v>
      </c>
    </row>
    <row r="525" spans="1:5" hidden="1">
      <c r="A525" s="12" t="s">
        <v>135</v>
      </c>
      <c r="B525" s="14">
        <v>1.22065117629485E+18</v>
      </c>
      <c r="D525" s="14">
        <v>1.1029482317999E+18</v>
      </c>
    </row>
    <row r="526" spans="1:5" hidden="1">
      <c r="A526" s="12" t="s">
        <v>136</v>
      </c>
      <c r="B526" s="14">
        <v>9.9453470792851292E+18</v>
      </c>
      <c r="D526" s="14">
        <v>1.7149234925778201E+19</v>
      </c>
    </row>
    <row r="527" spans="1:5">
      <c r="A527" t="s">
        <v>137</v>
      </c>
      <c r="B527" s="11">
        <v>0.109318589198673</v>
      </c>
      <c r="C527">
        <f>1/B527</f>
        <v>9.1475750586446392</v>
      </c>
      <c r="D527" s="11">
        <v>6.0428290811993503E-2</v>
      </c>
      <c r="E527">
        <f>1/D527</f>
        <v>16.548540204640801</v>
      </c>
    </row>
    <row r="528" spans="1:5" hidden="1">
      <c r="A528" t="s">
        <v>138</v>
      </c>
      <c r="B528" s="11">
        <v>1.9764746782470699E-2</v>
      </c>
      <c r="D528" s="11">
        <v>9.2228808917945004E-3</v>
      </c>
    </row>
    <row r="529" spans="1:5" hidden="1"/>
    <row r="530" spans="1:5" hidden="1">
      <c r="B530" s="11" t="s">
        <v>226</v>
      </c>
      <c r="D530" s="11" t="s">
        <v>226</v>
      </c>
    </row>
    <row r="531" spans="1:5" hidden="1">
      <c r="A531" s="12" t="s">
        <v>135</v>
      </c>
      <c r="B531" s="11">
        <v>2301365103688030</v>
      </c>
      <c r="D531" s="14">
        <v>5.035643054616E+16</v>
      </c>
    </row>
    <row r="532" spans="1:5" hidden="1">
      <c r="A532" s="12" t="s">
        <v>136</v>
      </c>
      <c r="B532" s="11">
        <v>8152744229988250</v>
      </c>
      <c r="D532" s="14">
        <v>4.1589444627882298E+17</v>
      </c>
    </row>
    <row r="533" spans="1:5">
      <c r="A533" t="s">
        <v>137</v>
      </c>
      <c r="B533" s="11">
        <v>0.220139758465558</v>
      </c>
      <c r="C533">
        <f>1/B533</f>
        <v>4.5425688070628798</v>
      </c>
      <c r="D533" s="11">
        <v>0.108002865086433</v>
      </c>
      <c r="E533">
        <f>1/D533</f>
        <v>9.2590136307931807</v>
      </c>
    </row>
    <row r="534" spans="1:5" hidden="1">
      <c r="A534" t="s">
        <v>138</v>
      </c>
      <c r="B534" s="11">
        <v>9.0726768479396494E-2</v>
      </c>
      <c r="D534" s="11">
        <v>2.9548636961451699E-2</v>
      </c>
    </row>
    <row r="535" spans="1:5" hidden="1"/>
    <row r="536" spans="1:5" hidden="1">
      <c r="B536" s="11" t="s">
        <v>227</v>
      </c>
      <c r="D536" s="11" t="s">
        <v>227</v>
      </c>
    </row>
    <row r="537" spans="1:5" hidden="1">
      <c r="A537" s="12" t="s">
        <v>135</v>
      </c>
      <c r="B537" s="14">
        <v>3.9964625001243597E+17</v>
      </c>
      <c r="D537" s="14">
        <v>6.6206823497127504E+16</v>
      </c>
    </row>
    <row r="538" spans="1:5" hidden="1">
      <c r="A538" s="12" t="s">
        <v>136</v>
      </c>
      <c r="B538" s="14">
        <v>1.0862149250539999E+19</v>
      </c>
      <c r="D538" s="14">
        <v>2.8299304235928402E+18</v>
      </c>
    </row>
    <row r="539" spans="1:5">
      <c r="A539" t="s">
        <v>137</v>
      </c>
      <c r="B539" s="11">
        <v>3.5486903486467103E-2</v>
      </c>
      <c r="C539">
        <f>1/B539</f>
        <v>28.179409916149702</v>
      </c>
      <c r="D539" s="11">
        <v>2.2860388803621699E-2</v>
      </c>
      <c r="E539">
        <f>1/D539</f>
        <v>43.743787937743797</v>
      </c>
    </row>
    <row r="540" spans="1:5" hidden="1">
      <c r="A540" t="s">
        <v>138</v>
      </c>
      <c r="B540" s="11">
        <v>1.45332994758978E-3</v>
      </c>
      <c r="D540" s="11">
        <v>1.1106570652832501E-3</v>
      </c>
    </row>
    <row r="541" spans="1:5" hidden="1"/>
    <row r="542" spans="1:5" hidden="1">
      <c r="B542" s="11" t="s">
        <v>228</v>
      </c>
      <c r="D542" s="11" t="s">
        <v>228</v>
      </c>
    </row>
    <row r="543" spans="1:5" hidden="1">
      <c r="A543" s="12" t="s">
        <v>135</v>
      </c>
      <c r="B543" s="11">
        <v>882570860418871</v>
      </c>
      <c r="D543" s="14">
        <v>9.9529081701917295E+19</v>
      </c>
    </row>
    <row r="544" spans="1:5" hidden="1">
      <c r="A544" s="12" t="s">
        <v>136</v>
      </c>
      <c r="B544" s="11">
        <v>2909736868827990</v>
      </c>
      <c r="D544" s="14">
        <v>1.07900139417982E+21</v>
      </c>
    </row>
    <row r="545" spans="1:5">
      <c r="A545" t="s">
        <v>137</v>
      </c>
      <c r="B545" s="11">
        <v>0.23272659378677199</v>
      </c>
      <c r="C545">
        <f>1/B545</f>
        <v>4.2968875354065297</v>
      </c>
      <c r="D545" s="11">
        <v>8.4451852318415802E-2</v>
      </c>
      <c r="E545">
        <f>1/D545</f>
        <v>11.8410665076903</v>
      </c>
    </row>
    <row r="546" spans="1:5" hidden="1">
      <c r="A546" t="s">
        <v>138</v>
      </c>
      <c r="B546" s="11">
        <v>0.16394711681979399</v>
      </c>
      <c r="D546" s="11">
        <v>1.13735637717239E-2</v>
      </c>
    </row>
    <row r="547" spans="1:5" hidden="1"/>
    <row r="548" spans="1:5" hidden="1">
      <c r="B548" s="11" t="s">
        <v>229</v>
      </c>
      <c r="D548" s="11" t="s">
        <v>229</v>
      </c>
    </row>
    <row r="549" spans="1:5" hidden="1">
      <c r="A549" s="12" t="s">
        <v>135</v>
      </c>
      <c r="B549" s="14">
        <v>1.16821930057186E+18</v>
      </c>
      <c r="D549" s="14">
        <v>1.29728081123646E+17</v>
      </c>
    </row>
    <row r="550" spans="1:5" hidden="1">
      <c r="A550" s="12" t="s">
        <v>136</v>
      </c>
      <c r="B550" s="14">
        <v>2.3512571075385299E+19</v>
      </c>
      <c r="D550" s="14">
        <v>1.7512782949357499E+18</v>
      </c>
    </row>
    <row r="551" spans="1:5">
      <c r="A551" t="s">
        <v>137</v>
      </c>
      <c r="B551" s="11">
        <v>4.7333139772941797E-2</v>
      </c>
      <c r="C551">
        <f>1/B551</f>
        <v>21.126846957481</v>
      </c>
      <c r="D551" s="11">
        <v>6.8967379789227207E-2</v>
      </c>
      <c r="E551">
        <f>1/D551</f>
        <v>14.4996084098906</v>
      </c>
    </row>
    <row r="552" spans="1:5" hidden="1">
      <c r="A552" t="s">
        <v>138</v>
      </c>
      <c r="B552" s="11">
        <v>3.5366041872390698E-3</v>
      </c>
      <c r="D552" s="11">
        <v>8.5529972407348501E-3</v>
      </c>
    </row>
    <row r="553" spans="1:5" hidden="1"/>
    <row r="554" spans="1:5" hidden="1">
      <c r="B554" s="11" t="s">
        <v>230</v>
      </c>
      <c r="D554" s="11" t="s">
        <v>230</v>
      </c>
    </row>
    <row r="555" spans="1:5" hidden="1">
      <c r="A555" s="12" t="s">
        <v>135</v>
      </c>
      <c r="B555" s="14">
        <v>7.3215292428795095E+18</v>
      </c>
      <c r="D555" s="14">
        <v>7.7880162923225998E+21</v>
      </c>
    </row>
    <row r="556" spans="1:5" hidden="1">
      <c r="A556" s="12" t="s">
        <v>136</v>
      </c>
      <c r="B556" s="14">
        <v>7.6095375530971202E+19</v>
      </c>
      <c r="D556" s="14">
        <v>6.7962147231319001E+22</v>
      </c>
    </row>
    <row r="557" spans="1:5">
      <c r="A557" t="s">
        <v>137</v>
      </c>
      <c r="B557" s="11">
        <v>8.77703297998014E-2</v>
      </c>
      <c r="C557">
        <f>1/B557</f>
        <v>11.3933717952403</v>
      </c>
      <c r="D557" s="11">
        <v>0.10281187432541899</v>
      </c>
      <c r="E557">
        <f>1/D557</f>
        <v>9.7265029604927893</v>
      </c>
    </row>
    <row r="558" spans="1:5" hidden="1">
      <c r="A558" t="s">
        <v>138</v>
      </c>
      <c r="B558" s="11">
        <v>2.0251329214359199E-2</v>
      </c>
      <c r="D558" s="11">
        <v>1.70324089549478E-2</v>
      </c>
    </row>
    <row r="559" spans="1:5" hidden="1"/>
    <row r="560" spans="1:5" hidden="1">
      <c r="B560" s="11" t="s">
        <v>231</v>
      </c>
      <c r="D560" s="11" t="s">
        <v>231</v>
      </c>
    </row>
    <row r="561" spans="1:5" hidden="1">
      <c r="A561" s="12" t="s">
        <v>135</v>
      </c>
      <c r="B561" s="14">
        <v>9.3775352870956304E+16</v>
      </c>
      <c r="D561" s="14">
        <v>3.24966483287839E+16</v>
      </c>
    </row>
    <row r="562" spans="1:5" hidden="1">
      <c r="A562" s="12" t="s">
        <v>136</v>
      </c>
      <c r="B562" s="14">
        <v>2.6179607083816402E+18</v>
      </c>
      <c r="D562" s="14">
        <v>9.7968972639066906E+17</v>
      </c>
    </row>
    <row r="563" spans="1:5">
      <c r="A563" t="s">
        <v>137</v>
      </c>
      <c r="B563" s="11">
        <v>3.4581298014541899E-2</v>
      </c>
      <c r="C563">
        <f>1/B563</f>
        <v>28.917364512445001</v>
      </c>
      <c r="D563" s="11">
        <v>3.2105399895143799E-2</v>
      </c>
      <c r="E563">
        <f>1/D563</f>
        <v>31.147408325889099</v>
      </c>
    </row>
    <row r="564" spans="1:5" hidden="1">
      <c r="A564" t="s">
        <v>138</v>
      </c>
      <c r="B564" s="11">
        <v>2.8344094807923998E-3</v>
      </c>
      <c r="D564" s="11">
        <v>2.63701656600776E-3</v>
      </c>
    </row>
    <row r="565" spans="1:5" hidden="1"/>
    <row r="566" spans="1:5" hidden="1">
      <c r="B566" s="11" t="s">
        <v>232</v>
      </c>
      <c r="D566" s="11" t="s">
        <v>232</v>
      </c>
    </row>
    <row r="567" spans="1:5" hidden="1">
      <c r="A567" s="12" t="s">
        <v>135</v>
      </c>
      <c r="B567" s="14">
        <v>2.5454499898729202E+19</v>
      </c>
      <c r="D567" s="14">
        <v>1.1632811648052801E+20</v>
      </c>
    </row>
    <row r="568" spans="1:5" hidden="1">
      <c r="A568" s="12" t="s">
        <v>136</v>
      </c>
      <c r="B568" s="14">
        <v>7.1211873499137196E+19</v>
      </c>
      <c r="D568" s="14">
        <v>3.5067829065485097E+20</v>
      </c>
    </row>
    <row r="569" spans="1:5">
      <c r="A569" t="s">
        <v>137</v>
      </c>
      <c r="B569" s="11">
        <v>0.26332321161943001</v>
      </c>
      <c r="C569">
        <f>1/B569</f>
        <v>3.7976143229076902</v>
      </c>
      <c r="D569" s="11">
        <v>0.24909319166322599</v>
      </c>
      <c r="E569">
        <f>1/D569</f>
        <v>4.0145617522617796</v>
      </c>
    </row>
    <row r="570" spans="1:5" hidden="1">
      <c r="A570" t="s">
        <v>138</v>
      </c>
      <c r="B570" s="11">
        <v>0.11333338589165701</v>
      </c>
      <c r="D570" s="11">
        <v>0.113234140561751</v>
      </c>
    </row>
    <row r="571" spans="1:5" hidden="1"/>
    <row r="572" spans="1:5" hidden="1">
      <c r="B572" s="11" t="s">
        <v>233</v>
      </c>
      <c r="D572" s="11" t="s">
        <v>233</v>
      </c>
    </row>
    <row r="573" spans="1:5" hidden="1">
      <c r="A573" s="12" t="s">
        <v>135</v>
      </c>
      <c r="B573" s="14">
        <v>9.8669336268022096E+16</v>
      </c>
      <c r="D573" s="14">
        <v>3.8724930236863598E+20</v>
      </c>
    </row>
    <row r="574" spans="1:5" hidden="1">
      <c r="A574" s="12" t="s">
        <v>136</v>
      </c>
      <c r="B574" s="14">
        <v>2.3672399196042399E+18</v>
      </c>
      <c r="D574" s="14">
        <v>4.2806916978899199E+21</v>
      </c>
    </row>
    <row r="575" spans="1:5">
      <c r="A575" t="s">
        <v>137</v>
      </c>
      <c r="B575" s="11">
        <v>4.0013368713002297E-2</v>
      </c>
      <c r="C575">
        <f>1/B575</f>
        <v>24.991647345979398</v>
      </c>
      <c r="D575" s="11">
        <v>8.2959339534751195E-2</v>
      </c>
      <c r="E575">
        <f>1/D575</f>
        <v>12.0540978943197</v>
      </c>
    </row>
    <row r="576" spans="1:5" hidden="1">
      <c r="A576" t="s">
        <v>138</v>
      </c>
      <c r="B576" s="11">
        <v>3.3632694301499802E-3</v>
      </c>
      <c r="D576" s="11">
        <v>9.0348538350623099E-3</v>
      </c>
    </row>
    <row r="577" spans="1:5" hidden="1"/>
    <row r="578" spans="1:5" hidden="1">
      <c r="B578" s="11" t="s">
        <v>234</v>
      </c>
      <c r="D578" s="11" t="s">
        <v>234</v>
      </c>
    </row>
    <row r="579" spans="1:5" hidden="1">
      <c r="A579" s="12" t="s">
        <v>135</v>
      </c>
      <c r="B579" s="14">
        <v>1.5298211618033701E+19</v>
      </c>
      <c r="D579" s="14">
        <v>1.0680520537524199E+19</v>
      </c>
    </row>
    <row r="580" spans="1:5" hidden="1">
      <c r="A580" s="12" t="s">
        <v>136</v>
      </c>
      <c r="B580" s="14">
        <v>3.59443313747396E+20</v>
      </c>
      <c r="D580" s="14">
        <v>1.1192559253766899E+20</v>
      </c>
    </row>
    <row r="581" spans="1:5">
      <c r="A581" t="s">
        <v>137</v>
      </c>
      <c r="B581" s="11">
        <v>4.08233691292035E-2</v>
      </c>
      <c r="C581">
        <f>1/B581</f>
        <v>24.495773409466999</v>
      </c>
      <c r="D581" s="11">
        <v>8.7112463397105599E-2</v>
      </c>
      <c r="E581">
        <f>1/D581</f>
        <v>11.479413633861601</v>
      </c>
    </row>
    <row r="582" spans="1:5" hidden="1">
      <c r="A582" t="s">
        <v>138</v>
      </c>
      <c r="B582" s="11">
        <v>3.18845653763055E-3</v>
      </c>
      <c r="D582" s="11">
        <v>1.48941852396268E-2</v>
      </c>
    </row>
    <row r="583" spans="1:5" hidden="1"/>
    <row r="584" spans="1:5" hidden="1">
      <c r="B584" s="11" t="s">
        <v>235</v>
      </c>
      <c r="D584" s="11" t="s">
        <v>235</v>
      </c>
    </row>
    <row r="585" spans="1:5" hidden="1">
      <c r="A585" s="12" t="s">
        <v>135</v>
      </c>
      <c r="B585" s="11">
        <v>1439153583384050</v>
      </c>
      <c r="D585" s="14">
        <v>6.2606612768781697E+19</v>
      </c>
    </row>
    <row r="586" spans="1:5" hidden="1">
      <c r="A586" s="12" t="s">
        <v>136</v>
      </c>
      <c r="B586" s="14">
        <v>3.00330737922061E+16</v>
      </c>
      <c r="D586" s="14">
        <v>8.9604040696685501E+20</v>
      </c>
    </row>
    <row r="587" spans="1:5">
      <c r="A587" t="s">
        <v>137</v>
      </c>
      <c r="B587" s="11">
        <v>4.5727732143300802E-2</v>
      </c>
      <c r="C587">
        <f>1/B587</f>
        <v>21.8685675656561</v>
      </c>
      <c r="D587" s="11">
        <v>6.5307262714952699E-2</v>
      </c>
      <c r="E587">
        <f>1/D587</f>
        <v>15.3122326434766</v>
      </c>
    </row>
    <row r="588" spans="1:5" hidden="1">
      <c r="A588" t="s">
        <v>138</v>
      </c>
      <c r="B588" s="11">
        <v>4.2250833086472598E-3</v>
      </c>
      <c r="D588" s="11">
        <v>5.5439168274170397E-3</v>
      </c>
    </row>
    <row r="589" spans="1:5" hidden="1"/>
    <row r="590" spans="1:5" hidden="1">
      <c r="B590" s="11" t="s">
        <v>236</v>
      </c>
      <c r="D590" s="11" t="s">
        <v>236</v>
      </c>
    </row>
    <row r="591" spans="1:5" hidden="1">
      <c r="A591" s="12" t="s">
        <v>135</v>
      </c>
      <c r="B591" s="14">
        <v>4.3812870560346202E+17</v>
      </c>
      <c r="D591" s="14">
        <v>3.83383218437082E+21</v>
      </c>
    </row>
    <row r="592" spans="1:5" hidden="1">
      <c r="A592" s="12" t="s">
        <v>136</v>
      </c>
      <c r="B592" s="14">
        <v>2.5922792333245901E+18</v>
      </c>
      <c r="D592" s="14">
        <v>5.6782254764804903E+22</v>
      </c>
    </row>
    <row r="593" spans="1:5">
      <c r="A593" t="s">
        <v>137</v>
      </c>
      <c r="B593" s="11">
        <v>0.14457746759944101</v>
      </c>
      <c r="C593">
        <f>1/B593</f>
        <v>6.9167071232050397</v>
      </c>
      <c r="D593" s="11">
        <v>6.3247767669089905E-2</v>
      </c>
      <c r="E593">
        <f>1/D593</f>
        <v>15.8108347037948</v>
      </c>
    </row>
    <row r="594" spans="1:5" hidden="1">
      <c r="A594" t="s">
        <v>138</v>
      </c>
      <c r="B594" s="11">
        <v>5.79544914979769E-2</v>
      </c>
      <c r="D594" s="11">
        <v>1.02702741122542E-2</v>
      </c>
    </row>
    <row r="595" spans="1:5" hidden="1"/>
    <row r="596" spans="1:5" hidden="1">
      <c r="B596" s="11" t="s">
        <v>237</v>
      </c>
      <c r="D596" s="11" t="s">
        <v>237</v>
      </c>
    </row>
    <row r="597" spans="1:5" hidden="1">
      <c r="A597" s="12" t="s">
        <v>135</v>
      </c>
      <c r="B597" s="14">
        <v>1.8892553057479999E+19</v>
      </c>
      <c r="D597" s="14">
        <v>3.3211181675741902E+21</v>
      </c>
    </row>
    <row r="598" spans="1:5" hidden="1">
      <c r="A598" s="12" t="s">
        <v>136</v>
      </c>
      <c r="B598" s="14">
        <v>4.9622995135497601E+19</v>
      </c>
      <c r="D598" s="14">
        <v>1.68721099422122E+22</v>
      </c>
    </row>
    <row r="599" spans="1:5">
      <c r="A599" t="s">
        <v>137</v>
      </c>
      <c r="B599" s="11">
        <v>0.27574110629996101</v>
      </c>
      <c r="C599">
        <f>1/B599</f>
        <v>3.6265902223231201</v>
      </c>
      <c r="D599" s="11">
        <v>0.16446692671018001</v>
      </c>
      <c r="E599">
        <f>1/D599</f>
        <v>6.08024981072443</v>
      </c>
    </row>
    <row r="600" spans="1:5" hidden="1">
      <c r="A600" t="s">
        <v>138</v>
      </c>
      <c r="B600" s="11">
        <v>0.16710159179638701</v>
      </c>
      <c r="D600" s="11">
        <v>4.3257740429169599E-2</v>
      </c>
    </row>
    <row r="601" spans="1:5" hidden="1"/>
    <row r="602" spans="1:5" hidden="1">
      <c r="B602" s="11" t="s">
        <v>238</v>
      </c>
      <c r="D602" s="11" t="s">
        <v>238</v>
      </c>
    </row>
    <row r="603" spans="1:5" hidden="1">
      <c r="A603" s="12" t="s">
        <v>135</v>
      </c>
      <c r="B603" s="14">
        <v>5.7181263641565299E+17</v>
      </c>
      <c r="D603" s="14">
        <v>1.1532415931526001E+19</v>
      </c>
    </row>
    <row r="604" spans="1:5" hidden="1">
      <c r="A604" s="12" t="s">
        <v>136</v>
      </c>
      <c r="B604" s="14">
        <v>2.0697452477795201E+19</v>
      </c>
      <c r="D604" s="14">
        <v>2.5144133902975599E+20</v>
      </c>
    </row>
    <row r="605" spans="1:5">
      <c r="A605" t="s">
        <v>137</v>
      </c>
      <c r="B605" s="11">
        <v>2.6884456672346499E-2</v>
      </c>
      <c r="C605">
        <f>1/B605</f>
        <v>37.196213863924001</v>
      </c>
      <c r="D605" s="11">
        <v>4.3853866456080103E-2</v>
      </c>
      <c r="E605">
        <f>1/D605</f>
        <v>22.803006457857201</v>
      </c>
    </row>
    <row r="606" spans="1:5" hidden="1">
      <c r="A606" t="s">
        <v>138</v>
      </c>
      <c r="B606" s="11">
        <v>1.0316691142227201E-3</v>
      </c>
      <c r="D606" s="11">
        <v>2.8509050245075799E-3</v>
      </c>
    </row>
    <row r="607" spans="1:5" hidden="1"/>
    <row r="608" spans="1:5" hidden="1">
      <c r="B608" s="11" t="s">
        <v>239</v>
      </c>
      <c r="D608" s="11" t="s">
        <v>239</v>
      </c>
    </row>
    <row r="609" spans="1:5" hidden="1">
      <c r="A609" s="12" t="s">
        <v>135</v>
      </c>
      <c r="B609" s="14">
        <v>5.3241384466002698E+18</v>
      </c>
      <c r="D609" s="14">
        <v>1.07749153597909E+21</v>
      </c>
    </row>
    <row r="610" spans="1:5" hidden="1">
      <c r="A610" s="12" t="s">
        <v>136</v>
      </c>
      <c r="B610" s="14">
        <v>9.3155560832564003E+19</v>
      </c>
      <c r="D610" s="14">
        <v>2.0775354034207402E+22</v>
      </c>
    </row>
    <row r="611" spans="1:5">
      <c r="A611" t="s">
        <v>137</v>
      </c>
      <c r="B611" s="11">
        <v>5.4063309347723798E-2</v>
      </c>
      <c r="C611">
        <f>1/B611</f>
        <v>18.496832918018601</v>
      </c>
      <c r="D611" s="11">
        <v>4.9306692463387598E-2</v>
      </c>
      <c r="E611">
        <f>1/D611</f>
        <v>20.281222488053601</v>
      </c>
    </row>
    <row r="612" spans="1:5" hidden="1">
      <c r="A612" t="s">
        <v>138</v>
      </c>
      <c r="B612" s="11">
        <v>5.0811265051387599E-3</v>
      </c>
      <c r="D612" s="11">
        <v>4.69487167104541E-3</v>
      </c>
    </row>
    <row r="613" spans="1:5" hidden="1"/>
    <row r="614" spans="1:5" hidden="1">
      <c r="B614" s="11" t="s">
        <v>240</v>
      </c>
      <c r="D614" s="11" t="s">
        <v>240</v>
      </c>
    </row>
    <row r="615" spans="1:5" hidden="1">
      <c r="A615" s="12" t="s">
        <v>135</v>
      </c>
      <c r="B615" s="14">
        <v>7.8285885232638605E+17</v>
      </c>
      <c r="D615" s="14">
        <v>2.85889606767921E+22</v>
      </c>
    </row>
    <row r="616" spans="1:5" hidden="1">
      <c r="A616" s="12" t="s">
        <v>136</v>
      </c>
      <c r="B616" s="14">
        <v>8.14164561171443E+18</v>
      </c>
      <c r="D616" s="14">
        <v>1.9779148909417799E+23</v>
      </c>
    </row>
    <row r="617" spans="1:5">
      <c r="A617" t="s">
        <v>137</v>
      </c>
      <c r="B617" s="11">
        <v>8.7720147990370798E-2</v>
      </c>
      <c r="C617">
        <f>1/B617</f>
        <v>11.3998895682412</v>
      </c>
      <c r="D617" s="11">
        <v>0.12628723330886399</v>
      </c>
      <c r="E617">
        <f>1/D617</f>
        <v>7.9184567893278199</v>
      </c>
    </row>
    <row r="618" spans="1:5" hidden="1">
      <c r="A618" t="s">
        <v>138</v>
      </c>
      <c r="B618" s="11">
        <v>3.0063216130326201E-2</v>
      </c>
      <c r="D618" s="11">
        <v>1.5710767454818499E-2</v>
      </c>
    </row>
    <row r="619" spans="1:5" hidden="1"/>
    <row r="620" spans="1:5" hidden="1">
      <c r="B620" s="11" t="s">
        <v>241</v>
      </c>
      <c r="D620" s="11" t="s">
        <v>241</v>
      </c>
    </row>
    <row r="621" spans="1:5" hidden="1">
      <c r="A621" s="12" t="s">
        <v>135</v>
      </c>
      <c r="B621" s="14">
        <v>9.5173797935084093E+19</v>
      </c>
      <c r="D621" s="14">
        <v>6.1009817761889397E+21</v>
      </c>
    </row>
    <row r="622" spans="1:5" hidden="1">
      <c r="A622" s="12" t="s">
        <v>136</v>
      </c>
      <c r="B622" s="14">
        <v>1.82887488559583E+20</v>
      </c>
      <c r="D622" s="14">
        <v>4.1439014071160504E+22</v>
      </c>
    </row>
    <row r="623" spans="1:5">
      <c r="A623" t="s">
        <v>137</v>
      </c>
      <c r="B623" s="11">
        <v>0.34227633459830498</v>
      </c>
      <c r="C623">
        <f>1/B623</f>
        <v>2.92161595447023</v>
      </c>
      <c r="D623" s="11">
        <v>0.128333662370925</v>
      </c>
      <c r="E623">
        <f>1/D623</f>
        <v>7.7921878135892602</v>
      </c>
    </row>
    <row r="624" spans="1:5" hidden="1">
      <c r="A624" t="s">
        <v>138</v>
      </c>
      <c r="B624" s="11">
        <v>0.44775783861539797</v>
      </c>
      <c r="D624" s="11">
        <v>3.7501326248471897E-2</v>
      </c>
    </row>
    <row r="625" spans="1:5" hidden="1"/>
    <row r="626" spans="1:5" hidden="1">
      <c r="B626" s="11" t="s">
        <v>242</v>
      </c>
      <c r="D626" s="11" t="s">
        <v>242</v>
      </c>
    </row>
    <row r="627" spans="1:5" hidden="1">
      <c r="A627" s="12" t="s">
        <v>135</v>
      </c>
      <c r="B627" s="14">
        <v>1.27124144433042E+19</v>
      </c>
      <c r="D627" s="14">
        <v>2.3981193753251699E+20</v>
      </c>
    </row>
    <row r="628" spans="1:5" hidden="1">
      <c r="A628" s="12" t="s">
        <v>136</v>
      </c>
      <c r="B628" s="14">
        <v>4.4902060168250499E+19</v>
      </c>
      <c r="D628" s="14">
        <v>2.0047777177492301E+21</v>
      </c>
    </row>
    <row r="629" spans="1:5">
      <c r="A629" t="s">
        <v>137</v>
      </c>
      <c r="B629" s="11">
        <v>0.22064619228090099</v>
      </c>
      <c r="C629">
        <f>1/B629</f>
        <v>4.5321425657185896</v>
      </c>
      <c r="D629" s="11">
        <v>0.106839990538232</v>
      </c>
      <c r="E629">
        <f>1/D629</f>
        <v>9.3597911696010208</v>
      </c>
    </row>
    <row r="630" spans="1:5" hidden="1">
      <c r="A630" t="s">
        <v>138</v>
      </c>
      <c r="B630" s="11">
        <v>9.8047290297612499E-2</v>
      </c>
      <c r="D630" s="11">
        <v>3.0441266802854701E-2</v>
      </c>
    </row>
    <row r="631" spans="1:5" hidden="1"/>
    <row r="632" spans="1:5" hidden="1">
      <c r="B632" s="11" t="s">
        <v>243</v>
      </c>
      <c r="D632" s="11" t="s">
        <v>243</v>
      </c>
    </row>
    <row r="633" spans="1:5" hidden="1">
      <c r="A633" s="12" t="s">
        <v>135</v>
      </c>
      <c r="B633" s="14">
        <v>2.6461263660662198E+19</v>
      </c>
      <c r="D633" s="14">
        <v>6.5631119463996499E+21</v>
      </c>
    </row>
    <row r="634" spans="1:5" hidden="1">
      <c r="A634" s="12" t="s">
        <v>136</v>
      </c>
      <c r="B634" s="14">
        <v>1.4112328037030701E+20</v>
      </c>
      <c r="D634" s="14">
        <v>3.46484330714341E+22</v>
      </c>
    </row>
    <row r="635" spans="1:5">
      <c r="A635" t="s">
        <v>137</v>
      </c>
      <c r="B635" s="11">
        <v>0.157897995985668</v>
      </c>
      <c r="C635">
        <f>1/B635</f>
        <v>6.3332026081620896</v>
      </c>
      <c r="D635" s="11">
        <v>0.159254207614869</v>
      </c>
      <c r="E635">
        <f>1/D635</f>
        <v>6.2792689435141398</v>
      </c>
    </row>
    <row r="636" spans="1:5" hidden="1">
      <c r="A636" t="s">
        <v>138</v>
      </c>
      <c r="B636" s="11">
        <v>3.9532245662909901E-2</v>
      </c>
      <c r="D636" s="11">
        <v>4.4924224553562403E-2</v>
      </c>
    </row>
    <row r="637" spans="1:5" hidden="1"/>
    <row r="638" spans="1:5" hidden="1">
      <c r="B638" s="11" t="s">
        <v>244</v>
      </c>
      <c r="D638" s="11" t="s">
        <v>244</v>
      </c>
    </row>
    <row r="639" spans="1:5" hidden="1">
      <c r="A639" s="12" t="s">
        <v>135</v>
      </c>
      <c r="B639" s="14">
        <v>2.1301974442314099E+18</v>
      </c>
      <c r="D639" s="14">
        <v>4.4259141524261801E+18</v>
      </c>
    </row>
    <row r="640" spans="1:5" hidden="1">
      <c r="A640" s="12" t="s">
        <v>136</v>
      </c>
      <c r="B640" s="14">
        <v>2.22019980146659E+19</v>
      </c>
      <c r="D640" s="14">
        <v>8.6694834872377606E+19</v>
      </c>
    </row>
    <row r="641" spans="1:5">
      <c r="A641" t="s">
        <v>137</v>
      </c>
      <c r="B641" s="11">
        <v>8.7546454565918794E-2</v>
      </c>
      <c r="C641">
        <f>1/B641</f>
        <v>11.422507113032699</v>
      </c>
      <c r="D641" s="11">
        <v>4.8571968512039002E-2</v>
      </c>
      <c r="E641">
        <f>1/D641</f>
        <v>20.588006429101998</v>
      </c>
    </row>
    <row r="642" spans="1:5" hidden="1">
      <c r="A642" t="s">
        <v>138</v>
      </c>
      <c r="B642" s="11">
        <v>1.3245339730250201E-2</v>
      </c>
      <c r="D642" s="11">
        <v>4.0703378579145799E-3</v>
      </c>
    </row>
    <row r="643" spans="1:5" hidden="1"/>
    <row r="644" spans="1:5" hidden="1">
      <c r="B644" s="11" t="s">
        <v>245</v>
      </c>
      <c r="D644" s="11" t="s">
        <v>245</v>
      </c>
    </row>
    <row r="645" spans="1:5" hidden="1">
      <c r="A645" s="12" t="s">
        <v>135</v>
      </c>
      <c r="B645" s="14">
        <v>1.00058033159671E+18</v>
      </c>
      <c r="D645" s="14">
        <v>6.7891122448042704E+21</v>
      </c>
    </row>
    <row r="646" spans="1:5" hidden="1">
      <c r="A646" s="12" t="s">
        <v>136</v>
      </c>
      <c r="B646" s="14">
        <v>7.9704350241450404E+18</v>
      </c>
      <c r="D646" s="14">
        <v>6.8547514093139298E+22</v>
      </c>
    </row>
    <row r="647" spans="1:5">
      <c r="A647" t="s">
        <v>137</v>
      </c>
      <c r="B647" s="11">
        <v>0.111534791984979</v>
      </c>
      <c r="C647">
        <f>1/B647</f>
        <v>8.9658122116251899</v>
      </c>
      <c r="D647" s="11">
        <v>9.0117019766053796E-2</v>
      </c>
      <c r="E647">
        <f>1/D647</f>
        <v>11.0966829861443</v>
      </c>
    </row>
    <row r="648" spans="1:5" hidden="1">
      <c r="A648" t="s">
        <v>138</v>
      </c>
      <c r="B648" s="11">
        <v>3.12848051267215E-2</v>
      </c>
      <c r="D648" s="11">
        <v>1.3074307421790899E-2</v>
      </c>
    </row>
    <row r="649" spans="1:5" hidden="1"/>
    <row r="650" spans="1:5" hidden="1">
      <c r="B650" s="11" t="s">
        <v>246</v>
      </c>
      <c r="D650" s="11" t="s">
        <v>246</v>
      </c>
    </row>
    <row r="651" spans="1:5" hidden="1">
      <c r="A651" s="12" t="s">
        <v>135</v>
      </c>
      <c r="B651" s="14">
        <v>1.92418688856695E+16</v>
      </c>
      <c r="D651" s="14">
        <v>1.63152615995919E+22</v>
      </c>
    </row>
    <row r="652" spans="1:5" hidden="1">
      <c r="A652" s="12" t="s">
        <v>136</v>
      </c>
      <c r="B652" s="14">
        <v>6.0918641773766E+16</v>
      </c>
      <c r="D652" s="14">
        <v>2.27598285348918E+23</v>
      </c>
    </row>
    <row r="653" spans="1:5">
      <c r="A653" t="s">
        <v>137</v>
      </c>
      <c r="B653" s="11">
        <v>0.240041745335421</v>
      </c>
      <c r="C653">
        <f>1/B653</f>
        <v>4.1659420472995503</v>
      </c>
      <c r="D653" s="11">
        <v>6.6889526242821004E-2</v>
      </c>
      <c r="E653">
        <f>1/D653</f>
        <v>14.950023660951301</v>
      </c>
    </row>
    <row r="654" spans="1:5" hidden="1">
      <c r="A654" t="s">
        <v>138</v>
      </c>
      <c r="B654" s="11">
        <v>0.15529135323468399</v>
      </c>
      <c r="D654" s="11">
        <v>7.4551435715116496E-3</v>
      </c>
    </row>
    <row r="655" spans="1:5" hidden="1"/>
    <row r="656" spans="1:5" hidden="1">
      <c r="B656" s="11" t="s">
        <v>247</v>
      </c>
      <c r="D656" s="11" t="s">
        <v>247</v>
      </c>
    </row>
    <row r="657" spans="1:5" hidden="1">
      <c r="A657" s="12" t="s">
        <v>135</v>
      </c>
      <c r="B657" s="14">
        <v>3.61400032425675E+20</v>
      </c>
      <c r="D657" s="14">
        <v>4.0664603435117299E+17</v>
      </c>
    </row>
    <row r="658" spans="1:5" hidden="1">
      <c r="A658" s="12" t="s">
        <v>136</v>
      </c>
      <c r="B658" s="14">
        <v>2.7750181665039602E+21</v>
      </c>
      <c r="D658" s="14">
        <v>3.6271773427415101E+18</v>
      </c>
    </row>
    <row r="659" spans="1:5">
      <c r="A659" t="s">
        <v>137</v>
      </c>
      <c r="B659" s="11">
        <v>0.11522699126953399</v>
      </c>
      <c r="C659">
        <f>1/B659</f>
        <v>8.6785221846228993</v>
      </c>
      <c r="D659" s="11">
        <v>0.10080908268330099</v>
      </c>
      <c r="E659">
        <f>1/D659</f>
        <v>9.9197410925915506</v>
      </c>
    </row>
    <row r="660" spans="1:5" hidden="1">
      <c r="A660" t="s">
        <v>138</v>
      </c>
      <c r="B660" s="11">
        <v>2.4286251343914701E-2</v>
      </c>
      <c r="D660" s="11">
        <v>3.2785819505009299E-2</v>
      </c>
    </row>
    <row r="661" spans="1:5" hidden="1"/>
    <row r="662" spans="1:5" hidden="1">
      <c r="B662" s="11" t="s">
        <v>248</v>
      </c>
      <c r="D662" s="11" t="s">
        <v>248</v>
      </c>
    </row>
    <row r="663" spans="1:5" hidden="1">
      <c r="A663" s="12" t="s">
        <v>135</v>
      </c>
      <c r="B663" s="14">
        <v>1.57076872909683E+19</v>
      </c>
      <c r="D663" s="14">
        <v>1.25988008926122E+21</v>
      </c>
    </row>
    <row r="664" spans="1:5" hidden="1">
      <c r="A664" s="12" t="s">
        <v>136</v>
      </c>
      <c r="B664" s="14">
        <v>2.6033313554208801E+19</v>
      </c>
      <c r="D664" s="14">
        <v>5.89378807224477E+21</v>
      </c>
    </row>
    <row r="665" spans="1:5">
      <c r="A665" t="s">
        <v>137</v>
      </c>
      <c r="B665" s="11">
        <v>0.37631314469986399</v>
      </c>
      <c r="C665">
        <f>1/B665</f>
        <v>2.6573613334649</v>
      </c>
      <c r="D665" s="11">
        <v>0.17611665243862701</v>
      </c>
      <c r="E665">
        <f>1/D665</f>
        <v>5.6780547787693099</v>
      </c>
    </row>
    <row r="666" spans="1:5" hidden="1">
      <c r="A666" t="s">
        <v>138</v>
      </c>
      <c r="B666" s="11">
        <v>0.27714351628742501</v>
      </c>
      <c r="D666" s="11">
        <v>4.2837036673656403E-2</v>
      </c>
    </row>
    <row r="667" spans="1:5" hidden="1"/>
    <row r="668" spans="1:5" hidden="1">
      <c r="B668" s="11" t="s">
        <v>249</v>
      </c>
      <c r="D668" s="11" t="s">
        <v>249</v>
      </c>
    </row>
    <row r="669" spans="1:5" hidden="1">
      <c r="A669" s="12" t="s">
        <v>135</v>
      </c>
      <c r="B669" s="14">
        <v>1.40623012961937E+20</v>
      </c>
      <c r="D669" s="14">
        <v>6.92066582268265E+21</v>
      </c>
    </row>
    <row r="670" spans="1:5" hidden="1">
      <c r="A670" s="12" t="s">
        <v>136</v>
      </c>
      <c r="B670" s="14">
        <v>5.3051366406642598E+20</v>
      </c>
      <c r="D670" s="14">
        <v>2.6989370896904498E+22</v>
      </c>
    </row>
    <row r="671" spans="1:5">
      <c r="A671" t="s">
        <v>137</v>
      </c>
      <c r="B671" s="11">
        <v>0.209529620083621</v>
      </c>
      <c r="C671">
        <f>1/B671</f>
        <v>4.7725949180880098</v>
      </c>
      <c r="D671" s="11">
        <v>0.20408900998579901</v>
      </c>
      <c r="E671">
        <f>1/D671</f>
        <v>4.8998228766437899</v>
      </c>
    </row>
    <row r="672" spans="1:5" hidden="1">
      <c r="A672" t="s">
        <v>138</v>
      </c>
      <c r="B672" s="11">
        <v>0.23663095419122901</v>
      </c>
      <c r="D672" s="11">
        <v>9.38741242479494E-2</v>
      </c>
    </row>
    <row r="673" spans="1:5" hidden="1"/>
    <row r="674" spans="1:5" hidden="1">
      <c r="B674" s="11" t="s">
        <v>250</v>
      </c>
      <c r="D674" s="11" t="s">
        <v>250</v>
      </c>
    </row>
    <row r="675" spans="1:5" hidden="1">
      <c r="A675" s="12" t="s">
        <v>135</v>
      </c>
      <c r="B675" s="11">
        <v>901030715340781</v>
      </c>
      <c r="D675" s="14">
        <v>5.8859256880922906E+17</v>
      </c>
    </row>
    <row r="676" spans="1:5" hidden="1">
      <c r="A676" s="12" t="s">
        <v>136</v>
      </c>
      <c r="B676" s="14">
        <v>6.5728613377465104E+16</v>
      </c>
      <c r="D676" s="14">
        <v>9.7920188308309606E+18</v>
      </c>
    </row>
    <row r="677" spans="1:5">
      <c r="A677" t="s">
        <v>137</v>
      </c>
      <c r="B677" s="11">
        <v>1.3522970557756E-2</v>
      </c>
      <c r="C677">
        <f>1/B677</f>
        <v>73.948249441869706</v>
      </c>
      <c r="D677" s="11">
        <v>5.6701146603910998E-2</v>
      </c>
      <c r="E677">
        <f>1/D677</f>
        <v>17.636327656397398</v>
      </c>
    </row>
    <row r="678" spans="1:5" hidden="1">
      <c r="A678" t="s">
        <v>138</v>
      </c>
      <c r="B678" s="11">
        <v>8.2033996629529596E-4</v>
      </c>
      <c r="D678" s="11">
        <v>5.8301672160462597E-3</v>
      </c>
    </row>
    <row r="679" spans="1:5" hidden="1"/>
    <row r="680" spans="1:5" hidden="1">
      <c r="B680" s="11" t="s">
        <v>251</v>
      </c>
      <c r="D680" s="11" t="s">
        <v>251</v>
      </c>
    </row>
    <row r="681" spans="1:5" hidden="1">
      <c r="A681" s="12" t="s">
        <v>135</v>
      </c>
      <c r="B681" s="14">
        <v>1.34212523955794E+17</v>
      </c>
      <c r="D681" s="11">
        <v>0</v>
      </c>
    </row>
    <row r="682" spans="1:5" hidden="1">
      <c r="A682" s="12" t="s">
        <v>136</v>
      </c>
      <c r="B682" s="14">
        <v>3.3328769006036198E+17</v>
      </c>
      <c r="D682" s="11">
        <v>0</v>
      </c>
    </row>
    <row r="683" spans="1:5">
      <c r="A683" t="s">
        <v>137</v>
      </c>
      <c r="B683" s="11">
        <v>0.287085481315215</v>
      </c>
      <c r="C683">
        <f>1/B683</f>
        <v>3.4832830814666602</v>
      </c>
      <c r="D683" s="11">
        <v>5.8823529411764698E-2</v>
      </c>
      <c r="E683">
        <f>1/D683</f>
        <v>17</v>
      </c>
    </row>
    <row r="684" spans="1:5" hidden="1">
      <c r="A684" t="s">
        <v>138</v>
      </c>
      <c r="B684" s="11">
        <v>0.37486204355237202</v>
      </c>
      <c r="D684" s="11">
        <v>3.2566659881945901E-3</v>
      </c>
    </row>
    <row r="685" spans="1:5" hidden="1"/>
    <row r="686" spans="1:5" hidden="1">
      <c r="B686" s="11" t="s">
        <v>252</v>
      </c>
      <c r="D686" s="11" t="s">
        <v>252</v>
      </c>
    </row>
    <row r="687" spans="1:5" hidden="1">
      <c r="A687" s="12" t="s">
        <v>135</v>
      </c>
      <c r="B687" s="14">
        <v>1.0144707038673601E+19</v>
      </c>
      <c r="D687" s="14">
        <v>1.04712580609589E+20</v>
      </c>
    </row>
    <row r="688" spans="1:5" hidden="1">
      <c r="A688" s="12" t="s">
        <v>136</v>
      </c>
      <c r="B688" s="14">
        <v>2.93226167706334E+19</v>
      </c>
      <c r="D688" s="14">
        <v>1.3138912484508901E+21</v>
      </c>
    </row>
    <row r="689" spans="1:5">
      <c r="A689" t="s">
        <v>137</v>
      </c>
      <c r="B689" s="11">
        <v>0.25704066198380798</v>
      </c>
      <c r="C689">
        <f>1/B689</f>
        <v>3.8904350474439502</v>
      </c>
      <c r="D689" s="11">
        <v>7.3813829107552298E-2</v>
      </c>
      <c r="E689">
        <f>1/D689</f>
        <v>13.5475968675589</v>
      </c>
    </row>
    <row r="690" spans="1:5" hidden="1">
      <c r="A690" t="s">
        <v>138</v>
      </c>
      <c r="B690" s="11">
        <v>0.120729193107922</v>
      </c>
      <c r="D690" s="11">
        <v>1.2703590478764499E-2</v>
      </c>
    </row>
    <row r="691" spans="1:5" hidden="1"/>
    <row r="692" spans="1:5" hidden="1">
      <c r="B692" s="11" t="s">
        <v>253</v>
      </c>
      <c r="D692" s="11" t="s">
        <v>253</v>
      </c>
    </row>
    <row r="693" spans="1:5" hidden="1">
      <c r="A693" s="12" t="s">
        <v>135</v>
      </c>
      <c r="B693" s="14">
        <v>2.3074559933308999E+21</v>
      </c>
      <c r="D693" s="14">
        <v>3.0708935587346298E+20</v>
      </c>
    </row>
    <row r="694" spans="1:5" hidden="1">
      <c r="A694" s="12" t="s">
        <v>136</v>
      </c>
      <c r="B694" s="14">
        <v>4.0046742397217601E+21</v>
      </c>
      <c r="D694" s="14">
        <v>1.2643551571030699E+21</v>
      </c>
    </row>
    <row r="695" spans="1:5">
      <c r="A695" t="s">
        <v>137</v>
      </c>
      <c r="B695" s="11">
        <v>0.36555899643011203</v>
      </c>
      <c r="C695">
        <f>1/B695</f>
        <v>2.7355365611722302</v>
      </c>
      <c r="D695" s="11">
        <v>0.19541851674533001</v>
      </c>
      <c r="E695">
        <f>1/D695</f>
        <v>5.1172223423597201</v>
      </c>
    </row>
    <row r="696" spans="1:5" hidden="1">
      <c r="A696" t="s">
        <v>138</v>
      </c>
      <c r="B696" s="11">
        <v>0.42882098023351101</v>
      </c>
      <c r="D696" s="11">
        <v>7.1683362701078099E-2</v>
      </c>
    </row>
    <row r="697" spans="1:5" hidden="1"/>
    <row r="698" spans="1:5" hidden="1">
      <c r="B698" s="11" t="s">
        <v>254</v>
      </c>
      <c r="D698" s="11" t="s">
        <v>254</v>
      </c>
    </row>
    <row r="699" spans="1:5" hidden="1">
      <c r="A699" s="12" t="s">
        <v>135</v>
      </c>
      <c r="B699" s="11">
        <v>6043060751813990</v>
      </c>
      <c r="D699" s="14">
        <v>2.8653002184045E+18</v>
      </c>
    </row>
    <row r="700" spans="1:5" hidden="1">
      <c r="A700" s="12" t="s">
        <v>136</v>
      </c>
      <c r="B700" s="14">
        <v>1.22255017567226E+16</v>
      </c>
      <c r="D700" s="14">
        <v>2.24838579200971E+19</v>
      </c>
    </row>
    <row r="701" spans="1:5">
      <c r="A701" t="s">
        <v>137</v>
      </c>
      <c r="B701" s="11">
        <v>0.33079016200591199</v>
      </c>
      <c r="C701">
        <f>1/B701</f>
        <v>3.0230645129710001</v>
      </c>
      <c r="D701" s="11">
        <v>0.113033348198358</v>
      </c>
      <c r="E701">
        <f>1/D701</f>
        <v>8.8469466395451501</v>
      </c>
    </row>
    <row r="702" spans="1:5" hidden="1">
      <c r="A702" t="s">
        <v>138</v>
      </c>
      <c r="B702" s="11">
        <v>0.240533522284025</v>
      </c>
      <c r="D702" s="11">
        <v>3.7181203085809099E-2</v>
      </c>
    </row>
    <row r="703" spans="1:5" hidden="1"/>
    <row r="704" spans="1:5" hidden="1">
      <c r="B704" s="11" t="s">
        <v>255</v>
      </c>
      <c r="D704" s="11" t="s">
        <v>255</v>
      </c>
    </row>
    <row r="705" spans="1:5" hidden="1">
      <c r="A705" s="12" t="s">
        <v>135</v>
      </c>
      <c r="B705" s="14">
        <v>2.41355619226446E+20</v>
      </c>
      <c r="D705" s="14">
        <v>5.3148908684093602E+21</v>
      </c>
    </row>
    <row r="706" spans="1:5" hidden="1">
      <c r="A706" s="12" t="s">
        <v>136</v>
      </c>
      <c r="B706" s="14">
        <v>8.8654009106274897E+20</v>
      </c>
      <c r="D706" s="14">
        <v>3.0780760867493598E+22</v>
      </c>
    </row>
    <row r="707" spans="1:5">
      <c r="A707" t="s">
        <v>137</v>
      </c>
      <c r="B707" s="11">
        <v>0.21398753184774599</v>
      </c>
      <c r="C707">
        <f>1/B707</f>
        <v>4.6731694663010002</v>
      </c>
      <c r="D707" s="11">
        <v>0.14724462955527701</v>
      </c>
      <c r="E707">
        <f>1/D707</f>
        <v>6.7914191710780898</v>
      </c>
    </row>
    <row r="708" spans="1:5" hidden="1">
      <c r="A708" t="s">
        <v>138</v>
      </c>
      <c r="B708" s="11">
        <v>7.3273364409059197E-2</v>
      </c>
      <c r="D708" s="11">
        <v>4.6573970903848197E-2</v>
      </c>
    </row>
    <row r="709" spans="1:5" hidden="1"/>
    <row r="710" spans="1:5" hidden="1">
      <c r="B710" s="11" t="s">
        <v>256</v>
      </c>
      <c r="D710" s="11" t="s">
        <v>256</v>
      </c>
    </row>
    <row r="711" spans="1:5" hidden="1">
      <c r="A711" s="12" t="s">
        <v>135</v>
      </c>
      <c r="B711" s="14">
        <v>2.14418006943281E+18</v>
      </c>
      <c r="D711" s="14">
        <v>2.6556589344228502E+21</v>
      </c>
    </row>
    <row r="712" spans="1:5" hidden="1">
      <c r="A712" s="12" t="s">
        <v>136</v>
      </c>
      <c r="B712" s="14">
        <v>3.23481748169849E+19</v>
      </c>
      <c r="D712" s="14">
        <v>3.7057809395765001E+22</v>
      </c>
    </row>
    <row r="713" spans="1:5">
      <c r="A713" t="s">
        <v>137</v>
      </c>
      <c r="B713" s="11">
        <v>6.2163922309553303E-2</v>
      </c>
      <c r="C713">
        <f>1/B713</f>
        <v>16.086501025793901</v>
      </c>
      <c r="D713" s="11">
        <v>6.6870486162100604E-2</v>
      </c>
      <c r="E713">
        <f>1/D713</f>
        <v>14.954280391739699</v>
      </c>
    </row>
    <row r="714" spans="1:5" hidden="1">
      <c r="A714" t="s">
        <v>138</v>
      </c>
      <c r="B714" s="11">
        <v>1.20379243978675E-2</v>
      </c>
      <c r="D714" s="11">
        <v>7.4745406516798498E-3</v>
      </c>
    </row>
    <row r="715" spans="1:5" hidden="1"/>
    <row r="716" spans="1:5" hidden="1">
      <c r="B716" s="11" t="s">
        <v>257</v>
      </c>
      <c r="D716" s="11" t="s">
        <v>257</v>
      </c>
    </row>
    <row r="717" spans="1:5" hidden="1">
      <c r="A717" s="12" t="s">
        <v>135</v>
      </c>
      <c r="B717" s="14">
        <v>5.5147655130333504E+16</v>
      </c>
      <c r="D717" s="14">
        <v>2.2473751941024701E+17</v>
      </c>
    </row>
    <row r="718" spans="1:5" hidden="1">
      <c r="A718" s="12" t="s">
        <v>136</v>
      </c>
      <c r="B718" s="14">
        <v>3.7550270215198598E+17</v>
      </c>
      <c r="D718" s="14">
        <v>2.99487264509566E+18</v>
      </c>
    </row>
    <row r="719" spans="1:5">
      <c r="A719" t="s">
        <v>137</v>
      </c>
      <c r="B719" s="11">
        <v>0.12805668031567499</v>
      </c>
      <c r="C719">
        <f>1/B719</f>
        <v>7.8090420393132201</v>
      </c>
      <c r="D719" s="11">
        <v>6.9802711485953003E-2</v>
      </c>
      <c r="E719">
        <f>1/D719</f>
        <v>14.326091045922199</v>
      </c>
    </row>
    <row r="720" spans="1:5" hidden="1">
      <c r="A720" t="s">
        <v>138</v>
      </c>
      <c r="B720" s="11">
        <v>4.6405324619075101E-2</v>
      </c>
      <c r="D720" s="11">
        <v>1.0146423655631599E-2</v>
      </c>
    </row>
    <row r="721" spans="1:5" hidden="1"/>
    <row r="722" spans="1:5" hidden="1">
      <c r="B722" s="11" t="s">
        <v>258</v>
      </c>
      <c r="D722" s="11" t="s">
        <v>258</v>
      </c>
    </row>
    <row r="723" spans="1:5" hidden="1">
      <c r="A723" s="12" t="s">
        <v>135</v>
      </c>
      <c r="B723" s="14">
        <v>5.5313695127565901E+17</v>
      </c>
      <c r="D723" s="14">
        <v>3.59019851806112E+17</v>
      </c>
    </row>
    <row r="724" spans="1:5" hidden="1">
      <c r="A724" s="12" t="s">
        <v>136</v>
      </c>
      <c r="B724" s="14">
        <v>2.16940767265618E+19</v>
      </c>
      <c r="D724" s="14">
        <v>9.0861264696677796E+18</v>
      </c>
    </row>
    <row r="725" spans="1:5">
      <c r="A725" t="s">
        <v>137</v>
      </c>
      <c r="B725" s="11">
        <v>2.4863201265814702E-2</v>
      </c>
      <c r="C725">
        <f>1/B725</f>
        <v>40.220082253645103</v>
      </c>
      <c r="D725" s="11">
        <v>3.8011041818364101E-2</v>
      </c>
      <c r="E725">
        <f>1/D725</f>
        <v>26.308145006351101</v>
      </c>
    </row>
    <row r="726" spans="1:5" hidden="1">
      <c r="A726" t="s">
        <v>138</v>
      </c>
      <c r="B726" s="11">
        <v>1.7495902770504901E-3</v>
      </c>
      <c r="D726" s="11">
        <v>3.4388461564079202E-3</v>
      </c>
    </row>
    <row r="727" spans="1:5" hidden="1"/>
    <row r="728" spans="1:5" hidden="1">
      <c r="B728" s="11" t="s">
        <v>259</v>
      </c>
      <c r="D728" s="11" t="s">
        <v>259</v>
      </c>
    </row>
    <row r="729" spans="1:5" hidden="1">
      <c r="A729" s="12" t="s">
        <v>135</v>
      </c>
      <c r="B729" s="14">
        <v>2.1038541237047401E+18</v>
      </c>
      <c r="D729" s="14">
        <v>1.8316697017252099E+17</v>
      </c>
    </row>
    <row r="730" spans="1:5" hidden="1">
      <c r="A730" s="12" t="s">
        <v>136</v>
      </c>
      <c r="B730" s="14">
        <v>1.5541783727204499E+19</v>
      </c>
      <c r="D730" s="14">
        <v>2.0760648348338401E+18</v>
      </c>
    </row>
    <row r="731" spans="1:5">
      <c r="A731" t="s">
        <v>137</v>
      </c>
      <c r="B731" s="11">
        <v>0.119228000794334</v>
      </c>
      <c r="C731">
        <f>1/B731</f>
        <v>8.3872915199256006</v>
      </c>
      <c r="D731" s="11">
        <v>8.1074890042992107E-2</v>
      </c>
      <c r="E731">
        <f>1/D731</f>
        <v>12.334275130928001</v>
      </c>
    </row>
    <row r="732" spans="1:5" hidden="1">
      <c r="A732" t="s">
        <v>138</v>
      </c>
      <c r="B732" s="11">
        <v>3.42858312111168E-2</v>
      </c>
      <c r="D732" s="11">
        <v>1.6063310932230498E-2</v>
      </c>
    </row>
  </sheetData>
  <autoFilter ref="A1:E732" xr:uid="{00000000-0009-0000-0000-000004000000}">
    <filterColumn colId="4">
      <customFilters>
        <customFilter operator="notEqual" val=""/>
      </customFilters>
    </filterColumn>
  </autoFilter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neg_ratio</vt:lpstr>
      <vt:lpstr>RPN-shap</vt:lpstr>
      <vt:lpstr>IPEA-modified</vt:lpstr>
      <vt:lpstr>difficulty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 Bi</dc:creator>
  <cp:lastModifiedBy>Vivi Bi</cp:lastModifiedBy>
  <dcterms:created xsi:type="dcterms:W3CDTF">2025-12-26T09:32:00Z</dcterms:created>
  <dcterms:modified xsi:type="dcterms:W3CDTF">2026-08-13T08:40:59Z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C86C1F87C5D74370A984D5DA19E05E46_13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