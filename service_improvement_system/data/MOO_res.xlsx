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AApaper\online_review\service_improvement_system\data\"/>
    </mc:Choice>
  </mc:AlternateContent>
  <xr:revisionPtr revIDLastSave="0" documentId="13_ncr:1_{B4949C0D-621C-4ACA-9434-4741A9677433}" xr6:coauthVersionLast="47" xr6:coauthVersionMax="47" xr10:uidLastSave="{00000000-0000-0000-0000-000000000000}"/>
  <bookViews>
    <workbookView xWindow="-110" yWindow="-110" windowWidth="25820" windowHeight="15500" xr2:uid="{5577AC07-9E4C-403D-9F59-BE29730C32D6}"/>
  </bookViews>
  <sheets>
    <sheet name="MOO_result" sheetId="2" r:id="rId1"/>
  </sheets>
  <definedNames>
    <definedName name="_xlnm._FilterDatabase" localSheetId="0" hidden="1">MOO_result!$A$1:$BU$119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9" i="2" l="1"/>
  <c r="I119" i="2"/>
  <c r="V118" i="2"/>
  <c r="I118" i="2"/>
  <c r="V117" i="2"/>
  <c r="I117" i="2"/>
  <c r="V116" i="2"/>
  <c r="I116" i="2"/>
  <c r="V115" i="2"/>
  <c r="I115" i="2"/>
  <c r="V114" i="2"/>
  <c r="I114" i="2"/>
  <c r="V113" i="2"/>
  <c r="I113" i="2"/>
  <c r="V112" i="2"/>
  <c r="I112" i="2"/>
  <c r="V111" i="2"/>
  <c r="I111" i="2"/>
  <c r="V110" i="2"/>
  <c r="I110" i="2"/>
  <c r="V109" i="2"/>
  <c r="I109" i="2"/>
  <c r="V108" i="2"/>
  <c r="I108" i="2"/>
  <c r="V107" i="2"/>
  <c r="I107" i="2"/>
  <c r="V106" i="2"/>
  <c r="I106" i="2"/>
  <c r="V105" i="2"/>
  <c r="I105" i="2"/>
  <c r="V104" i="2"/>
  <c r="I104" i="2"/>
  <c r="V103" i="2"/>
  <c r="I103" i="2"/>
  <c r="V102" i="2"/>
  <c r="I102" i="2"/>
  <c r="V101" i="2"/>
  <c r="I101" i="2"/>
  <c r="V100" i="2"/>
  <c r="I100" i="2"/>
  <c r="V99" i="2"/>
  <c r="I99" i="2"/>
  <c r="V98" i="2"/>
  <c r="I98" i="2"/>
  <c r="V97" i="2"/>
  <c r="I97" i="2"/>
  <c r="V96" i="2"/>
  <c r="I96" i="2"/>
  <c r="V95" i="2"/>
  <c r="I95" i="2"/>
  <c r="V94" i="2"/>
  <c r="I94" i="2"/>
  <c r="V93" i="2"/>
  <c r="I93" i="2"/>
  <c r="V92" i="2"/>
  <c r="I92" i="2"/>
  <c r="V91" i="2"/>
  <c r="I91" i="2"/>
  <c r="V90" i="2"/>
  <c r="I90" i="2"/>
  <c r="V89" i="2"/>
  <c r="I89" i="2"/>
  <c r="V88" i="2"/>
  <c r="I88" i="2"/>
  <c r="V87" i="2"/>
  <c r="I87" i="2"/>
  <c r="V86" i="2"/>
  <c r="I86" i="2"/>
  <c r="V85" i="2"/>
  <c r="I85" i="2"/>
  <c r="V84" i="2"/>
  <c r="I84" i="2"/>
  <c r="V83" i="2"/>
  <c r="I83" i="2"/>
  <c r="V82" i="2"/>
  <c r="I82" i="2"/>
  <c r="V81" i="2"/>
  <c r="I81" i="2"/>
  <c r="V80" i="2"/>
  <c r="I80" i="2"/>
  <c r="V79" i="2"/>
  <c r="I79" i="2"/>
  <c r="V78" i="2"/>
  <c r="I78" i="2"/>
  <c r="V77" i="2"/>
  <c r="I77" i="2"/>
  <c r="V76" i="2"/>
  <c r="I76" i="2"/>
  <c r="V75" i="2"/>
  <c r="I75" i="2"/>
  <c r="V74" i="2"/>
  <c r="I74" i="2"/>
  <c r="V73" i="2"/>
  <c r="I73" i="2"/>
  <c r="V72" i="2"/>
  <c r="I72" i="2"/>
  <c r="V71" i="2"/>
  <c r="I71" i="2"/>
  <c r="V70" i="2"/>
  <c r="I70" i="2"/>
  <c r="V69" i="2"/>
  <c r="I69" i="2"/>
  <c r="V68" i="2"/>
  <c r="I68" i="2"/>
  <c r="V67" i="2"/>
  <c r="I67" i="2"/>
  <c r="V66" i="2"/>
  <c r="I66" i="2"/>
  <c r="V65" i="2"/>
  <c r="I65" i="2"/>
  <c r="V64" i="2"/>
  <c r="I64" i="2"/>
  <c r="V63" i="2"/>
  <c r="I63" i="2"/>
  <c r="V62" i="2"/>
  <c r="I62" i="2"/>
  <c r="V61" i="2"/>
  <c r="I61" i="2"/>
  <c r="V60" i="2"/>
  <c r="I60" i="2"/>
  <c r="V59" i="2"/>
  <c r="I59" i="2"/>
  <c r="V58" i="2"/>
  <c r="I58" i="2"/>
  <c r="V57" i="2"/>
  <c r="I57" i="2"/>
  <c r="V56" i="2"/>
  <c r="I56" i="2"/>
  <c r="V55" i="2"/>
  <c r="I55" i="2"/>
  <c r="V54" i="2"/>
  <c r="I54" i="2"/>
  <c r="V53" i="2"/>
  <c r="I53" i="2"/>
  <c r="V52" i="2"/>
  <c r="I52" i="2"/>
  <c r="V51" i="2"/>
  <c r="I51" i="2"/>
  <c r="V50" i="2"/>
  <c r="I50" i="2"/>
  <c r="V49" i="2"/>
  <c r="I49" i="2"/>
  <c r="V48" i="2"/>
  <c r="I48" i="2"/>
  <c r="V47" i="2"/>
  <c r="I47" i="2"/>
  <c r="V46" i="2"/>
  <c r="I46" i="2"/>
  <c r="V45" i="2"/>
  <c r="I45" i="2"/>
  <c r="V44" i="2"/>
  <c r="I44" i="2"/>
  <c r="V43" i="2"/>
  <c r="I43" i="2"/>
  <c r="V42" i="2"/>
  <c r="I42" i="2"/>
  <c r="V41" i="2"/>
  <c r="I41" i="2"/>
  <c r="V40" i="2"/>
  <c r="I40" i="2"/>
  <c r="V39" i="2"/>
  <c r="I39" i="2"/>
  <c r="V38" i="2"/>
  <c r="I38" i="2"/>
  <c r="V37" i="2"/>
  <c r="I37" i="2"/>
  <c r="V36" i="2"/>
  <c r="I36" i="2"/>
  <c r="V35" i="2"/>
  <c r="I35" i="2"/>
  <c r="V34" i="2"/>
  <c r="I34" i="2"/>
  <c r="V33" i="2"/>
  <c r="I33" i="2"/>
  <c r="V32" i="2"/>
  <c r="I32" i="2"/>
  <c r="V31" i="2"/>
  <c r="I31" i="2"/>
  <c r="V30" i="2"/>
  <c r="I30" i="2"/>
  <c r="V29" i="2"/>
  <c r="I29" i="2"/>
  <c r="V28" i="2"/>
  <c r="I28" i="2"/>
  <c r="V27" i="2"/>
  <c r="I27" i="2"/>
  <c r="V26" i="2"/>
  <c r="I26" i="2"/>
  <c r="V25" i="2"/>
  <c r="I25" i="2"/>
  <c r="V24" i="2"/>
  <c r="I24" i="2"/>
  <c r="V23" i="2"/>
  <c r="I23" i="2"/>
  <c r="V22" i="2"/>
  <c r="I22" i="2"/>
  <c r="V21" i="2"/>
  <c r="I21" i="2"/>
  <c r="V20" i="2"/>
  <c r="I20" i="2"/>
  <c r="V19" i="2"/>
  <c r="I19" i="2"/>
  <c r="V18" i="2"/>
  <c r="I18" i="2"/>
  <c r="V17" i="2"/>
  <c r="I17" i="2"/>
  <c r="V16" i="2"/>
  <c r="I16" i="2"/>
  <c r="V15" i="2"/>
  <c r="I15" i="2"/>
  <c r="V14" i="2"/>
  <c r="I14" i="2"/>
  <c r="V13" i="2"/>
  <c r="I13" i="2"/>
  <c r="V12" i="2"/>
  <c r="I12" i="2"/>
  <c r="V11" i="2"/>
  <c r="I11" i="2"/>
  <c r="V10" i="2"/>
  <c r="I10" i="2"/>
  <c r="V9" i="2"/>
  <c r="I9" i="2"/>
  <c r="V8" i="2"/>
  <c r="I8" i="2"/>
  <c r="V7" i="2"/>
  <c r="I7" i="2"/>
  <c r="V6" i="2"/>
  <c r="I6" i="2"/>
  <c r="V5" i="2"/>
  <c r="I5" i="2"/>
  <c r="V4" i="2"/>
  <c r="I4" i="2"/>
  <c r="V3" i="2"/>
  <c r="I3" i="2"/>
  <c r="V2" i="2"/>
  <c r="I2" i="2"/>
</calcChain>
</file>

<file path=xl/sharedStrings.xml><?xml version="1.0" encoding="utf-8"?>
<sst xmlns="http://schemas.openxmlformats.org/spreadsheetml/2006/main" count="427" uniqueCount="312">
  <si>
    <t>Sub_Issue</t>
  </si>
  <si>
    <t>ES</t>
  </si>
  <si>
    <t>Tau_Hat_Mean</t>
  </si>
  <si>
    <t>AME_SE</t>
  </si>
  <si>
    <t>Eff</t>
    <phoneticPr fontId="4" type="noConversion"/>
  </si>
  <si>
    <t>Imp</t>
    <phoneticPr fontId="4" type="noConversion"/>
  </si>
  <si>
    <t>Per_focus</t>
  </si>
  <si>
    <t>Per_market</t>
  </si>
  <si>
    <t>Per_gap</t>
  </si>
  <si>
    <t>Zone</t>
  </si>
  <si>
    <t>Priority</t>
  </si>
  <si>
    <t>好评提升率</t>
  </si>
  <si>
    <t>差评下降率</t>
  </si>
  <si>
    <t>维护性成本</t>
  </si>
  <si>
    <t>knot</t>
  </si>
  <si>
    <t>type</t>
    <phoneticPr fontId="4" type="noConversion"/>
  </si>
  <si>
    <t>a</t>
  </si>
  <si>
    <t>b</t>
  </si>
  <si>
    <t>c</t>
  </si>
  <si>
    <t>global_tau_relative_error</t>
  </si>
  <si>
    <t>pareto</t>
  </si>
  <si>
    <t>target_score</t>
    <phoneticPr fontId="4" type="noConversion"/>
  </si>
  <si>
    <t>Per_1</t>
  </si>
  <si>
    <t>Per_2</t>
  </si>
  <si>
    <t>Per_3</t>
  </si>
  <si>
    <t>Per_4</t>
  </si>
  <si>
    <t>Per_5</t>
  </si>
  <si>
    <t>Per_6</t>
  </si>
  <si>
    <t>Per_7</t>
  </si>
  <si>
    <t>Per_8</t>
  </si>
  <si>
    <t>Per_9</t>
  </si>
  <si>
    <t>Per_10</t>
  </si>
  <si>
    <t>Per_11</t>
  </si>
  <si>
    <t>Per_12</t>
  </si>
  <si>
    <t>Per_13</t>
  </si>
  <si>
    <t>Per_14</t>
  </si>
  <si>
    <t>Per_15</t>
  </si>
  <si>
    <t>Per_16</t>
  </si>
  <si>
    <t>Per_17</t>
  </si>
  <si>
    <t>Eff_1</t>
  </si>
  <si>
    <t>Eff_2</t>
  </si>
  <si>
    <t>Eff_3</t>
  </si>
  <si>
    <t>Eff_4</t>
  </si>
  <si>
    <t>Eff_5</t>
  </si>
  <si>
    <t>Eff_6</t>
  </si>
  <si>
    <t>Eff_7</t>
  </si>
  <si>
    <t>Eff_8</t>
  </si>
  <si>
    <t>Eff_9</t>
  </si>
  <si>
    <t>Eff_10</t>
  </si>
  <si>
    <t>Eff_11</t>
  </si>
  <si>
    <t>Eff_12</t>
  </si>
  <si>
    <t>Eff_13</t>
  </si>
  <si>
    <t>Eff_14</t>
  </si>
  <si>
    <t>Eff_15</t>
  </si>
  <si>
    <t>Eff_16</t>
  </si>
  <si>
    <t>Eff_17</t>
  </si>
  <si>
    <t>Per_market_1</t>
  </si>
  <si>
    <t>Per_market_2</t>
  </si>
  <si>
    <t>Per_market_3</t>
  </si>
  <si>
    <t>Per_market_4</t>
  </si>
  <si>
    <t>Per_market_5</t>
  </si>
  <si>
    <t>Per_market_6</t>
  </si>
  <si>
    <t>Per_market_7</t>
  </si>
  <si>
    <t>Per_market_8</t>
  </si>
  <si>
    <t>Per_market_9</t>
  </si>
  <si>
    <t>Per_market_10</t>
  </si>
  <si>
    <t>Per_market_11</t>
  </si>
  <si>
    <t>Per_market_12</t>
  </si>
  <si>
    <t>Per_market_13</t>
  </si>
  <si>
    <t>Per_market_14</t>
  </si>
  <si>
    <t>Per_market_15</t>
  </si>
  <si>
    <t>Per_market_16</t>
  </si>
  <si>
    <t>Per_market_17</t>
  </si>
  <si>
    <t>accessibility and usability of toiletries</t>
  </si>
  <si>
    <t>ES_1</t>
  </si>
  <si>
    <t>linear</t>
  </si>
  <si>
    <t>unreliable lift performance</t>
  </si>
  <si>
    <t>ES_2</t>
  </si>
  <si>
    <t>Attractive</t>
  </si>
  <si>
    <t>no elevator or long waiting time</t>
  </si>
  <si>
    <t>ES_3</t>
  </si>
  <si>
    <t>washing machine failure and hygiene issues</t>
  </si>
  <si>
    <t>ES_4</t>
  </si>
  <si>
    <t>aesthetic and design elements</t>
  </si>
  <si>
    <t>ES_5</t>
  </si>
  <si>
    <t>air conditioning system failure</t>
  </si>
  <si>
    <t>ES_6</t>
  </si>
  <si>
    <t>apartment infrastructure maintenance (painting, repairs, and general upkeep)</t>
  </si>
  <si>
    <t>ES_7</t>
  </si>
  <si>
    <t>improper door lock operation</t>
    <phoneticPr fontId="4" type="noConversion"/>
  </si>
  <si>
    <t>ES_8</t>
  </si>
  <si>
    <t>host communication and professionalism</t>
  </si>
  <si>
    <t>ES_9</t>
  </si>
  <si>
    <t>housekeeping performance</t>
  </si>
  <si>
    <t>ES_10</t>
  </si>
  <si>
    <t>atmosphere and vibe</t>
  </si>
  <si>
    <t>ES_11</t>
  </si>
  <si>
    <t>availability and functionality of sockets/connections</t>
    <phoneticPr fontId="4" type="noConversion"/>
  </si>
  <si>
    <t>ES_12</t>
  </si>
  <si>
    <t>availability of pool and spa</t>
  </si>
  <si>
    <t>ES_13</t>
  </si>
  <si>
    <t>balcony accessibility and functionality</t>
  </si>
  <si>
    <t>ES_14</t>
  </si>
  <si>
    <t>bar atmosphere and accessibility</t>
    <phoneticPr fontId="4" type="noConversion"/>
  </si>
  <si>
    <t>ES_15</t>
  </si>
  <si>
    <t>Must-be</t>
  </si>
  <si>
    <t>bathroom infrastructure condition (draining, cleanliness, and maintenance)</t>
  </si>
  <si>
    <t>ES_16</t>
  </si>
  <si>
    <t>bathroom sound issue</t>
  </si>
  <si>
    <t>ES_17</t>
  </si>
  <si>
    <t>bathroom space and layout</t>
  </si>
  <si>
    <t>ES_18</t>
  </si>
  <si>
    <t>ES_19</t>
  </si>
  <si>
    <t>cleanliness of curtains and windows</t>
  </si>
  <si>
    <t>ES_20</t>
  </si>
  <si>
    <t>breakfast quality and accessibility</t>
  </si>
  <si>
    <t>ES_21</t>
  </si>
  <si>
    <t>broken or non-functional communication equipment</t>
    <phoneticPr fontId="4" type="noConversion"/>
  </si>
  <si>
    <t>ES_22</t>
  </si>
  <si>
    <t>building appearance</t>
  </si>
  <si>
    <t>ES_23</t>
  </si>
  <si>
    <t>visual representation content misalignment</t>
    <phoneticPr fontId="4" type="noConversion"/>
  </si>
  <si>
    <t>ES_24</t>
  </si>
  <si>
    <t>check-in process efficiency</t>
  </si>
  <si>
    <t>ES_25</t>
  </si>
  <si>
    <t>inadequate staff availability</t>
  </si>
  <si>
    <t>ES_26</t>
  </si>
  <si>
    <t>check-in/out time and availability</t>
    <phoneticPr fontId="4" type="noConversion"/>
  </si>
  <si>
    <t>ES_27</t>
  </si>
  <si>
    <t>cleanliness of commen areas</t>
  </si>
  <si>
    <t>ES_28</t>
  </si>
  <si>
    <t>dirt and stains on floors and surfaces</t>
  </si>
  <si>
    <t>ES_29</t>
  </si>
  <si>
    <t>cleanliness of beddings</t>
  </si>
  <si>
    <t>ES_30</t>
  </si>
  <si>
    <t>cleanliness of furniture and fittings</t>
  </si>
  <si>
    <t>ES_31</t>
  </si>
  <si>
    <t>cleanliness of kitchen area</t>
    <phoneticPr fontId="4" type="noConversion"/>
  </si>
  <si>
    <t>ES_32</t>
  </si>
  <si>
    <t>cleanliness of tableware</t>
  </si>
  <si>
    <t>ES_33</t>
  </si>
  <si>
    <t>food availability</t>
  </si>
  <si>
    <t>ES_34</t>
  </si>
  <si>
    <t>comfort of bed</t>
  </si>
  <si>
    <t>ES_35</t>
  </si>
  <si>
    <t>comfort of seating and bedding</t>
  </si>
  <si>
    <t>ES_36</t>
  </si>
  <si>
    <t>noise disturbance from public areas</t>
  </si>
  <si>
    <t>ES_37</t>
  </si>
  <si>
    <t>ES_38</t>
  </si>
  <si>
    <t>customer service quality</t>
  </si>
  <si>
    <t>ES_39</t>
  </si>
  <si>
    <t>dated furniture and fittings</t>
  </si>
  <si>
    <t>ES_40</t>
  </si>
  <si>
    <t>room service and food delivery</t>
  </si>
  <si>
    <t>ES_41</t>
  </si>
  <si>
    <t>deposit refund</t>
  </si>
  <si>
    <t>ES_42</t>
  </si>
  <si>
    <t>dirty towels</t>
  </si>
  <si>
    <t>ES_43</t>
  </si>
  <si>
    <t>dishwasher malfunction</t>
  </si>
  <si>
    <t>ES_44</t>
  </si>
  <si>
    <t>drinking water supply</t>
  </si>
  <si>
    <t>ES_45</t>
  </si>
  <si>
    <t>electrical appliances and outlet related issues (supply, condition and location)</t>
  </si>
  <si>
    <t>ES_46</t>
  </si>
  <si>
    <t>external noise</t>
  </si>
  <si>
    <t>ES_47</t>
  </si>
  <si>
    <t>food price</t>
  </si>
  <si>
    <t>ES_48</t>
  </si>
  <si>
    <t>food quality at cafe</t>
  </si>
  <si>
    <t>ES_49</t>
  </si>
  <si>
    <t>food variety</t>
  </si>
  <si>
    <t>ES_50</t>
  </si>
  <si>
    <t>fridge malfunctioning</t>
  </si>
  <si>
    <t>ES_51</t>
  </si>
  <si>
    <t>friendly and helpful staff interactions</t>
  </si>
  <si>
    <t>ES_52</t>
  </si>
  <si>
    <t>overall location quality</t>
  </si>
  <si>
    <t>ES_53</t>
  </si>
  <si>
    <t>room cleaning performance</t>
  </si>
  <si>
    <t>ES_54</t>
  </si>
  <si>
    <t>gym equipment and space</t>
  </si>
  <si>
    <t>ES_56</t>
  </si>
  <si>
    <t>hotplate non-operation</t>
  </si>
  <si>
    <t>ES_57</t>
  </si>
  <si>
    <t>inadequate airflow and fresh air supply</t>
  </si>
  <si>
    <t>ES_58</t>
  </si>
  <si>
    <t>ES_59</t>
  </si>
  <si>
    <t>inadequate luggage assistance</t>
  </si>
  <si>
    <t>ES_60</t>
  </si>
  <si>
    <t>inadequate temperature control</t>
  </si>
  <si>
    <t>ES_61</t>
  </si>
  <si>
    <t>inconvenient access to location</t>
  </si>
  <si>
    <t>ES_62</t>
  </si>
  <si>
    <t>ineffective customer engagement</t>
  </si>
  <si>
    <t>ES_63</t>
  </si>
  <si>
    <t>information provided during booking</t>
  </si>
  <si>
    <t>ES_64</t>
  </si>
  <si>
    <t>inoperable or difficult-to-operate tv</t>
  </si>
  <si>
    <t>ES_65</t>
  </si>
  <si>
    <t>insufficient food supply</t>
  </si>
  <si>
    <t>ES_66</t>
  </si>
  <si>
    <t>insufficient lighting in rooms</t>
  </si>
  <si>
    <t>ES_67</t>
  </si>
  <si>
    <t>insufficient parking spaces</t>
  </si>
  <si>
    <t>ES_68</t>
  </si>
  <si>
    <t>insufficient towel or bedding supply</t>
  </si>
  <si>
    <t>ES_69</t>
  </si>
  <si>
    <t>kitchen equipment configuration</t>
  </si>
  <si>
    <t>ES_70</t>
  </si>
  <si>
    <t>kitchen space</t>
  </si>
  <si>
    <t>ES_71</t>
  </si>
  <si>
    <t>limited tv content access</t>
  </si>
  <si>
    <t>ES_72</t>
  </si>
  <si>
    <t>ES_73</t>
  </si>
  <si>
    <t>manager's unprofessional interactions</t>
  </si>
  <si>
    <t>ES_74</t>
  </si>
  <si>
    <t>meal quality disparity</t>
  </si>
  <si>
    <t>ES_75</t>
  </si>
  <si>
    <t>mould and and cleanliness of shower area</t>
  </si>
  <si>
    <t>ES_76</t>
  </si>
  <si>
    <t>network connectivity issues in rooms</t>
  </si>
  <si>
    <t>ES_77</t>
  </si>
  <si>
    <t>noise from room amenities</t>
  </si>
  <si>
    <t>ES_78</t>
  </si>
  <si>
    <t>overall cleanliness</t>
  </si>
  <si>
    <t>ES_79</t>
  </si>
  <si>
    <t>parking availability</t>
  </si>
  <si>
    <t>ES_80</t>
  </si>
  <si>
    <t>parking fee perception</t>
  </si>
  <si>
    <t>ES_81</t>
  </si>
  <si>
    <t>pool water temperature and quality</t>
  </si>
  <si>
    <t>ES_82</t>
  </si>
  <si>
    <t>poor lighting in rooms</t>
  </si>
  <si>
    <t>ES_83</t>
  </si>
  <si>
    <t>price-perception mismatch</t>
  </si>
  <si>
    <t>ES_84</t>
  </si>
  <si>
    <t>privacy concern</t>
  </si>
  <si>
    <t>ES_85</t>
  </si>
  <si>
    <t>provision of amenities in rooms</t>
  </si>
  <si>
    <t>ES_86</t>
  </si>
  <si>
    <t>proximity to amenities and services</t>
  </si>
  <si>
    <t>ES_87</t>
  </si>
  <si>
    <t>public area appearance and maintenance</t>
  </si>
  <si>
    <t>ES_88</t>
  </si>
  <si>
    <t>public areas experience (pool, jacuzzi, garden, rooftop)</t>
  </si>
  <si>
    <t>ES_89</t>
  </si>
  <si>
    <t>quality and maintenance of furniture and facilities</t>
  </si>
  <si>
    <t>ES_90</t>
  </si>
  <si>
    <t>ES_91</t>
  </si>
  <si>
    <t>quietness of room</t>
  </si>
  <si>
    <t>ES_92</t>
  </si>
  <si>
    <t>receptionist responsiveness and efficiency</t>
  </si>
  <si>
    <t>ES_93</t>
  </si>
  <si>
    <t>receptionist's attitude and communication</t>
  </si>
  <si>
    <t>ES_94</t>
  </si>
  <si>
    <t>ES_95</t>
  </si>
  <si>
    <t>room comfort and environment quality</t>
  </si>
  <si>
    <t>ES_96</t>
  </si>
  <si>
    <t>room decor</t>
  </si>
  <si>
    <t>ES_97</t>
  </si>
  <si>
    <t>view from room</t>
  </si>
  <si>
    <t>ES_98</t>
  </si>
  <si>
    <t>room layout and configuration</t>
  </si>
  <si>
    <t>ES_99</t>
  </si>
  <si>
    <t>room not ready</t>
  </si>
  <si>
    <t>ES_100</t>
  </si>
  <si>
    <t>room size</t>
  </si>
  <si>
    <t>ES_101</t>
  </si>
  <si>
    <t>room upgrades</t>
  </si>
  <si>
    <t>ES_102</t>
  </si>
  <si>
    <t>safety concerns</t>
  </si>
  <si>
    <t>ES_103</t>
  </si>
  <si>
    <t>safety design of furniture and facilities</t>
  </si>
  <si>
    <t>ES_104</t>
  </si>
  <si>
    <t>sauna quality</t>
  </si>
  <si>
    <t>ES_105</t>
  </si>
  <si>
    <t>secure parking</t>
  </si>
  <si>
    <t>ES_106</t>
  </si>
  <si>
    <t>shower water temperature and water pressure</t>
  </si>
  <si>
    <t>ES_107</t>
  </si>
  <si>
    <t>signage and instruction</t>
  </si>
  <si>
    <t>ES_109</t>
  </si>
  <si>
    <t>sleep quality</t>
  </si>
  <si>
    <t>ES_110</t>
  </si>
  <si>
    <t>specific room type avaliable</t>
  </si>
  <si>
    <t>ES_112</t>
  </si>
  <si>
    <t>staff behavior and attitude</t>
  </si>
  <si>
    <t>ES_113</t>
  </si>
  <si>
    <t>supply and quality of bathing products</t>
  </si>
  <si>
    <t>ES_115</t>
  </si>
  <si>
    <t>supply and quality of cleaning tools</t>
  </si>
  <si>
    <t>ES_116</t>
  </si>
  <si>
    <t>toilet cleanliness</t>
    <phoneticPr fontId="4" type="noConversion"/>
  </si>
  <si>
    <t>ES_117</t>
  </si>
  <si>
    <t>unclean pool</t>
  </si>
  <si>
    <t>ES_118</t>
  </si>
  <si>
    <t>unexpected increase in total cost for stay</t>
  </si>
  <si>
    <t>ES_119</t>
  </si>
  <si>
    <t>unpleasant odors in apartment</t>
  </si>
  <si>
    <t>ES_120</t>
  </si>
  <si>
    <t>value perception of accommodation quality</t>
  </si>
  <si>
    <t>ES_121</t>
  </si>
  <si>
    <t>water leakage from shower</t>
  </si>
  <si>
    <t>ES_122</t>
  </si>
  <si>
    <t>bathtub and bath plug installation</t>
    <phoneticPr fontId="4" type="noConversion"/>
  </si>
  <si>
    <t>convenience of access to the parking area</t>
    <phoneticPr fontId="4" type="noConversion"/>
  </si>
  <si>
    <t>inadequate hotel access control and lighting</t>
    <phoneticPr fontId="4" type="noConversion"/>
  </si>
  <si>
    <t>maintenance of furniture and facilities</t>
    <phoneticPr fontId="4" type="noConversion"/>
  </si>
  <si>
    <t>quantity and quality of tableware</t>
    <phoneticPr fontId="4" type="noConversion"/>
  </si>
  <si>
    <t>rooftop unavailability and visibility issues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</si>
</sst>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0" x14ac:knownFonts="1"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b/>
      <sz val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horizontal="center" vertical="top"/>
    </xf>
    <xf numFmtId="0" fontId="5" fillId="0" borderId="0" xfId="0" applyFont="1">
      <alignment vertical="center"/>
    </xf>
    <xf numFmtId="0" fontId="2" fillId="0" borderId="0" xfId="1">
      <alignment vertical="center"/>
    </xf>
    <xf numFmtId="0" fontId="6" fillId="0" borderId="1" xfId="0" applyFont="1" applyBorder="1" applyAlignment="1">
      <alignment horizontal="center" vertical="top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0" fillId="0" borderId="0" xfId="0" applyAlignment="1"/>
    <xf numFmtId="0" fontId="5" fillId="0" borderId="0" xfId="0" applyFont="1" applyAlignment="1"/>
    <xf numFmtId="176" fontId="5" fillId="0" borderId="0" xfId="0" applyNumberFormat="1" applyFont="1">
      <alignment vertical="center"/>
    </xf>
    <xf numFmtId="0" fontId="1" fillId="0" borderId="0" xfId="2"/>
    <xf numFmtId="0" fontId="2" fillId="0" borderId="0" xfId="1" applyFill="1">
      <alignment vertical="center"/>
    </xf>
  </cellXfs>
  <cellStyles count="3">
    <cellStyle name="常规" xfId="0" builtinId="0"/>
    <cellStyle name="常规 4" xfId="1" xr:uid="{8389977E-E62A-4EF8-B28E-D7FDE53002CE}"/>
    <cellStyle name="常规 5" xfId="2" xr:uid="{7539DABF-9F32-44C0-BC40-D095E07C6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7FBC-0319-4161-AF55-D3997FDB1575}">
  <dimension ref="A1:BU119"/>
  <sheetViews>
    <sheetView tabSelected="1" topLeftCell="G70" zoomScale="115" zoomScaleNormal="115" workbookViewId="0">
      <selection activeCell="R124" sqref="R124"/>
    </sheetView>
  </sheetViews>
  <sheetFormatPr defaultColWidth="8.7265625" defaultRowHeight="14" x14ac:dyDescent="0.25"/>
  <cols>
    <col min="1" max="1" width="39.81640625" style="9" customWidth="1"/>
    <col min="2" max="2" width="10.90625" style="5" customWidth="1"/>
    <col min="3" max="4" width="8.7265625" style="3"/>
    <col min="5" max="5" width="8.7265625" style="10"/>
    <col min="6" max="7" width="12.453125" style="2" customWidth="1"/>
    <col min="8" max="8" width="12.453125" style="5" customWidth="1"/>
    <col min="9" max="9" width="12.453125" style="2" customWidth="1"/>
    <col min="12" max="13" width="12.453125" style="5" customWidth="1"/>
    <col min="14" max="14" width="12.453125" style="6" customWidth="1"/>
    <col min="15" max="22" width="8.7265625" style="3"/>
    <col min="23" max="39" width="5.90625" style="5" customWidth="1"/>
    <col min="40" max="40" width="7.90625" style="5" customWidth="1"/>
    <col min="41" max="56" width="9.81640625" style="5" customWidth="1"/>
    <col min="57" max="73" width="9.54296875" style="5" customWidth="1"/>
    <col min="74" max="16384" width="8.7265625" style="5"/>
  </cols>
  <sheetData>
    <row r="1" spans="1:73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5" t="s">
        <v>7</v>
      </c>
      <c r="I1" s="2" t="s">
        <v>8</v>
      </c>
      <c r="J1" t="s">
        <v>9</v>
      </c>
      <c r="K1" t="s">
        <v>10</v>
      </c>
      <c r="L1" s="5" t="s">
        <v>11</v>
      </c>
      <c r="M1" s="5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</row>
    <row r="2" spans="1:73" x14ac:dyDescent="0.25">
      <c r="A2" s="9" t="s">
        <v>73</v>
      </c>
      <c r="B2" s="5" t="s">
        <v>74</v>
      </c>
      <c r="C2" s="3">
        <v>0.30323041653087401</v>
      </c>
      <c r="D2" s="3">
        <v>2.1442646200977002E-2</v>
      </c>
      <c r="E2" s="10">
        <v>1.9291188143788381E-3</v>
      </c>
      <c r="F2" s="2">
        <v>2.5244082693221754E-3</v>
      </c>
      <c r="G2" s="11">
        <v>5.1724285714285703</v>
      </c>
      <c r="H2" s="9">
        <v>4.9790788246268596</v>
      </c>
      <c r="I2" s="2">
        <f t="shared" ref="I2:I65" si="0">G2-H2</f>
        <v>0.19334974680171069</v>
      </c>
      <c r="J2">
        <v>6</v>
      </c>
      <c r="K2">
        <v>4</v>
      </c>
      <c r="L2" s="5">
        <v>9.3171937597537502E-2</v>
      </c>
      <c r="M2" s="5">
        <v>6.1945383416664203E-2</v>
      </c>
      <c r="N2" s="6">
        <v>16.143253053640599</v>
      </c>
      <c r="O2" s="3">
        <v>6.5960972190469196</v>
      </c>
      <c r="P2" s="3" t="s">
        <v>75</v>
      </c>
      <c r="Q2" s="3">
        <v>0.30323041653087401</v>
      </c>
      <c r="R2" s="3">
        <v>0</v>
      </c>
      <c r="S2" s="3">
        <v>0</v>
      </c>
      <c r="T2" s="3">
        <v>0</v>
      </c>
      <c r="U2">
        <v>0</v>
      </c>
      <c r="V2" s="3">
        <f>G2+U2</f>
        <v>5.1724285714285703</v>
      </c>
      <c r="W2" s="7">
        <v>4.375</v>
      </c>
      <c r="X2" s="7">
        <v>4.1500000000000004</v>
      </c>
      <c r="Y2" s="7">
        <v>7.57</v>
      </c>
      <c r="Z2" s="7">
        <v>5.05</v>
      </c>
      <c r="AA2" s="7">
        <v>6.625</v>
      </c>
      <c r="AB2" s="7">
        <v>5.7249999999999996</v>
      </c>
      <c r="AC2" s="7">
        <v>4.4950000000000001</v>
      </c>
      <c r="AD2" s="7">
        <v>5.7833329999999998</v>
      </c>
      <c r="AE2" s="7">
        <v>4.1500000000000004</v>
      </c>
      <c r="AF2" s="7">
        <v>4.6180000000000003</v>
      </c>
      <c r="AG2" s="7">
        <v>4.6112500000000001</v>
      </c>
      <c r="AH2" s="7">
        <v>5.8375000000000004</v>
      </c>
      <c r="AI2" s="7">
        <v>5.05</v>
      </c>
      <c r="AJ2" s="7">
        <v>5.2750000000000004</v>
      </c>
      <c r="AK2" s="7">
        <v>4.1500000000000004</v>
      </c>
      <c r="AL2" s="7">
        <v>6.1433330000000002</v>
      </c>
      <c r="AM2" s="7">
        <v>4.1500000000000004</v>
      </c>
      <c r="AN2" s="13">
        <v>4.82813242099942E-3</v>
      </c>
      <c r="AO2" s="13">
        <v>1.95169008406511E-3</v>
      </c>
      <c r="AP2" s="13">
        <v>2.1139655414755599E-3</v>
      </c>
      <c r="AQ2" s="13">
        <v>2.0487171770529901E-3</v>
      </c>
      <c r="AR2" s="13">
        <v>1.99081509193772E-3</v>
      </c>
      <c r="AS2" s="13">
        <v>1.8065996166926801E-3</v>
      </c>
      <c r="AT2" s="13">
        <v>1.61416232137726E-3</v>
      </c>
      <c r="AU2" s="13">
        <v>1.7635177172215201E-3</v>
      </c>
      <c r="AV2" s="13">
        <v>1.56991489224347E-3</v>
      </c>
      <c r="AW2" s="13">
        <v>1.5465387579625899E-3</v>
      </c>
      <c r="AX2" s="13">
        <v>1.5402501809539499E-3</v>
      </c>
      <c r="AY2" s="13">
        <v>1.68805535988216E-3</v>
      </c>
      <c r="AZ2" s="13">
        <v>1.6166847476276401E-3</v>
      </c>
      <c r="BA2" s="13">
        <v>1.75932102928846E-3</v>
      </c>
      <c r="BB2" s="13">
        <v>1.46510265257042E-3</v>
      </c>
      <c r="BC2" s="13">
        <v>1.7547153051992699E-3</v>
      </c>
      <c r="BD2" s="13">
        <v>1.73683694788994E-3</v>
      </c>
      <c r="BE2" s="8">
        <v>5.2056250000000004</v>
      </c>
      <c r="BF2" s="8">
        <v>4.912534</v>
      </c>
      <c r="BG2" s="8">
        <v>5.3425000000000002</v>
      </c>
      <c r="BH2" s="8">
        <v>4.8598150000000002</v>
      </c>
      <c r="BI2" s="8">
        <v>4.8007580000000001</v>
      </c>
      <c r="BJ2" s="8">
        <v>5.0757139999999996</v>
      </c>
      <c r="BK2" s="8">
        <v>5.0742390000000004</v>
      </c>
      <c r="BL2" s="8">
        <v>4.9830709999999998</v>
      </c>
      <c r="BM2" s="8">
        <v>4.935657</v>
      </c>
      <c r="BN2" s="8">
        <v>4.7102930000000001</v>
      </c>
      <c r="BO2" s="8">
        <v>4.7906120000000003</v>
      </c>
      <c r="BP2" s="8">
        <v>5.0986250000000002</v>
      </c>
      <c r="BQ2" s="8">
        <v>4.9782460000000004</v>
      </c>
      <c r="BR2" s="8">
        <v>5.2637499999999999</v>
      </c>
      <c r="BS2" s="8">
        <v>5.3281879999999999</v>
      </c>
      <c r="BT2" s="8">
        <v>4.7072900000000004</v>
      </c>
      <c r="BU2" s="8">
        <v>5.0320799999999997</v>
      </c>
    </row>
    <row r="3" spans="1:73" x14ac:dyDescent="0.25">
      <c r="A3" s="9" t="s">
        <v>76</v>
      </c>
      <c r="B3" s="5" t="s">
        <v>77</v>
      </c>
      <c r="C3" s="3">
        <v>0.201478698945464</v>
      </c>
      <c r="D3" s="3">
        <v>2.6946969682157099E-2</v>
      </c>
      <c r="E3" s="10">
        <v>2.3820763473031319E-3</v>
      </c>
      <c r="F3" s="2">
        <v>2.9592790481342583E-3</v>
      </c>
      <c r="G3" s="2">
        <v>5.8440737704918</v>
      </c>
      <c r="H3" s="5">
        <v>5.3296110876303597</v>
      </c>
      <c r="I3" s="2">
        <f t="shared" si="0"/>
        <v>0.51446268286144026</v>
      </c>
      <c r="J3">
        <v>2</v>
      </c>
      <c r="K3">
        <v>3</v>
      </c>
      <c r="L3" s="5">
        <v>0.10647186325823201</v>
      </c>
      <c r="M3" s="5">
        <v>7.2883117318155902E-2</v>
      </c>
      <c r="N3" s="6">
        <v>13.7205986351367</v>
      </c>
      <c r="O3" s="3">
        <v>5.9209199181002301</v>
      </c>
      <c r="P3" s="3" t="s">
        <v>78</v>
      </c>
      <c r="Q3" s="3">
        <v>15.483338542773</v>
      </c>
      <c r="R3" s="3">
        <v>1.33182212573011E-2</v>
      </c>
      <c r="S3" s="3">
        <v>0</v>
      </c>
      <c r="T3" s="3">
        <v>1.5821214462945099E-2</v>
      </c>
      <c r="U3">
        <v>0</v>
      </c>
      <c r="V3" s="3">
        <f>G3+U3</f>
        <v>5.8440737704918</v>
      </c>
      <c r="W3" s="7">
        <v>5.0094120000000002</v>
      </c>
      <c r="X3" s="7">
        <v>5.0162500000000003</v>
      </c>
      <c r="Y3" s="7">
        <v>6.0175000000000001</v>
      </c>
      <c r="Z3" s="7">
        <v>3.484</v>
      </c>
      <c r="AA3" s="7">
        <v>5.8239999999999998</v>
      </c>
      <c r="AB3" s="7">
        <v>4.4627499999999998</v>
      </c>
      <c r="AC3" s="7">
        <v>4.9509999999999996</v>
      </c>
      <c r="AD3" s="7">
        <v>5.7596150000000002</v>
      </c>
      <c r="AE3" s="7">
        <v>6.6812500000000004</v>
      </c>
      <c r="AF3" s="7">
        <v>8.6199999999999992</v>
      </c>
      <c r="AG3" s="7">
        <v>8.0875000000000004</v>
      </c>
      <c r="AH3" s="7">
        <v>9.5500000000000007</v>
      </c>
      <c r="AI3" s="7">
        <v>7.444</v>
      </c>
      <c r="AJ3" s="7">
        <v>5.1539999999999999</v>
      </c>
      <c r="AK3" s="7">
        <v>7.0674999999999999</v>
      </c>
      <c r="AL3" s="7">
        <v>6.9142859999999997</v>
      </c>
      <c r="AM3" s="7">
        <v>3.9609999999999999</v>
      </c>
      <c r="AN3" s="13">
        <v>5.9617790029243703E-3</v>
      </c>
      <c r="AO3" s="13">
        <v>2.40994735620498E-3</v>
      </c>
      <c r="AP3" s="13">
        <v>2.6103251276330701E-3</v>
      </c>
      <c r="AQ3" s="13">
        <v>2.5297564325207E-3</v>
      </c>
      <c r="AR3" s="13">
        <v>2.45825892475468E-3</v>
      </c>
      <c r="AS3" s="13">
        <v>2.2307896143536599E-3</v>
      </c>
      <c r="AT3" s="13">
        <v>1.9931679986744501E-3</v>
      </c>
      <c r="AU3" s="13">
        <v>2.17759207516518E-3</v>
      </c>
      <c r="AV3" s="13">
        <v>1.9385312631955501E-3</v>
      </c>
      <c r="AW3" s="13">
        <v>1.90966640731067E-3</v>
      </c>
      <c r="AX3" s="13">
        <v>1.9019012710013801E-3</v>
      </c>
      <c r="AY3" s="13">
        <v>2.0844111392943599E-3</v>
      </c>
      <c r="AZ3" s="13">
        <v>1.9962826911776102E-3</v>
      </c>
      <c r="BA3" s="13">
        <v>2.1724100039584499E-3</v>
      </c>
      <c r="BB3" s="13">
        <v>1.80910908599626E-3</v>
      </c>
      <c r="BC3" s="13">
        <v>2.1667228548138298E-3</v>
      </c>
      <c r="BD3" s="13">
        <v>2.1446466551739902E-3</v>
      </c>
      <c r="BE3" s="8">
        <v>5.3266349999999996</v>
      </c>
      <c r="BF3" s="8">
        <v>5.178839</v>
      </c>
      <c r="BG3" s="8">
        <v>5.231948</v>
      </c>
      <c r="BH3" s="8">
        <v>5.059412</v>
      </c>
      <c r="BI3" s="8">
        <v>5.1535580000000003</v>
      </c>
      <c r="BJ3" s="8">
        <v>5.0182859999999998</v>
      </c>
      <c r="BK3" s="8">
        <v>5.225892</v>
      </c>
      <c r="BL3" s="8">
        <v>5.614484</v>
      </c>
      <c r="BM3" s="8">
        <v>5.4782169999999999</v>
      </c>
      <c r="BN3" s="8">
        <v>5.5059750000000003</v>
      </c>
      <c r="BO3" s="8">
        <v>5.0328900000000001</v>
      </c>
      <c r="BP3" s="8">
        <v>5.5552029999999997</v>
      </c>
      <c r="BQ3" s="8">
        <v>5.4015139999999997</v>
      </c>
      <c r="BR3" s="8">
        <v>5.4867900000000001</v>
      </c>
      <c r="BS3" s="8">
        <v>5.25</v>
      </c>
      <c r="BT3" s="8">
        <v>5.2865630000000001</v>
      </c>
      <c r="BU3" s="8">
        <v>5.1778789999999999</v>
      </c>
    </row>
    <row r="4" spans="1:73" x14ac:dyDescent="0.25">
      <c r="A4" s="9" t="s">
        <v>79</v>
      </c>
      <c r="B4" s="5" t="s">
        <v>80</v>
      </c>
      <c r="C4" s="3">
        <v>0.197063187755563</v>
      </c>
      <c r="D4" s="3">
        <v>3.40710562751785E-2</v>
      </c>
      <c r="E4" s="10">
        <v>2.3288407169599519E-3</v>
      </c>
      <c r="F4" s="2">
        <v>1.8026325521139563E-3</v>
      </c>
      <c r="G4" s="2">
        <v>5.4093918918918904</v>
      </c>
      <c r="H4" s="5">
        <v>5.1416838487972303</v>
      </c>
      <c r="I4" s="2">
        <f t="shared" si="0"/>
        <v>0.26770804309466012</v>
      </c>
      <c r="J4">
        <v>2</v>
      </c>
      <c r="K4">
        <v>3</v>
      </c>
      <c r="L4" s="5">
        <v>0.26536767870439698</v>
      </c>
      <c r="M4" s="5">
        <v>8.7505316921617296E-2</v>
      </c>
      <c r="N4" s="6">
        <v>11.4278770156989</v>
      </c>
      <c r="O4" s="3">
        <v>6.6435152664830204</v>
      </c>
      <c r="P4" s="3" t="s">
        <v>75</v>
      </c>
      <c r="Q4" s="3">
        <v>0.197063187755563</v>
      </c>
      <c r="R4" s="3">
        <v>0</v>
      </c>
      <c r="S4" s="3">
        <v>0</v>
      </c>
      <c r="T4" s="3">
        <v>0</v>
      </c>
      <c r="U4">
        <v>0</v>
      </c>
      <c r="V4" s="3">
        <f>G4+U4</f>
        <v>5.4093918918918904</v>
      </c>
      <c r="W4" s="7">
        <v>4.5774999999999997</v>
      </c>
      <c r="X4" s="7">
        <v>4.7575000000000003</v>
      </c>
      <c r="Y4" s="7">
        <v>7.21</v>
      </c>
      <c r="Z4" s="7">
        <v>3.76</v>
      </c>
      <c r="AA4" s="7">
        <v>4.4850000000000003</v>
      </c>
      <c r="AB4" s="7">
        <v>4.9214289999999998</v>
      </c>
      <c r="AC4" s="7">
        <v>6.97</v>
      </c>
      <c r="AD4" s="7">
        <v>6.5949999999999998</v>
      </c>
      <c r="AE4" s="7">
        <v>5.6349999999999998</v>
      </c>
      <c r="AF4" s="7">
        <v>4.87</v>
      </c>
      <c r="AG4" s="7">
        <v>5.2074999999999996</v>
      </c>
      <c r="AH4" s="7">
        <v>6.9271430000000001</v>
      </c>
      <c r="AI4" s="7">
        <v>3.7</v>
      </c>
      <c r="AJ4" s="7">
        <v>6.625</v>
      </c>
      <c r="AK4" s="7">
        <v>4.0824999999999996</v>
      </c>
      <c r="AL4" s="7">
        <v>6.22</v>
      </c>
      <c r="AM4" s="7">
        <v>4.6900000000000004</v>
      </c>
      <c r="AN4" s="13">
        <v>5.8285426926999997E-3</v>
      </c>
      <c r="AO4" s="13">
        <v>2.3560888529934E-3</v>
      </c>
      <c r="AP4" s="13">
        <v>2.5519884988648399E-3</v>
      </c>
      <c r="AQ4" s="13">
        <v>2.4732203863723802E-3</v>
      </c>
      <c r="AR4" s="13">
        <v>2.4033207345685302E-3</v>
      </c>
      <c r="AS4" s="13">
        <v>2.18093500267524E-3</v>
      </c>
      <c r="AT4" s="13">
        <v>1.9486238534335101E-3</v>
      </c>
      <c r="AU4" s="13">
        <v>2.1289263441599698E-3</v>
      </c>
      <c r="AV4" s="13">
        <v>1.89520816238352E-3</v>
      </c>
      <c r="AW4" s="13">
        <v>1.86698839027168E-3</v>
      </c>
      <c r="AX4" s="13">
        <v>1.85939679244976E-3</v>
      </c>
      <c r="AY4" s="13">
        <v>2.03782785449733E-3</v>
      </c>
      <c r="AZ4" s="13">
        <v>1.9516689374965599E-3</v>
      </c>
      <c r="BA4" s="13">
        <v>2.1238600840301899E-3</v>
      </c>
      <c r="BB4" s="13">
        <v>1.76867836568722E-3</v>
      </c>
      <c r="BC4" s="13">
        <v>2.1183000336537998E-3</v>
      </c>
      <c r="BD4" s="13">
        <v>2.0967172020811701E-3</v>
      </c>
      <c r="BE4" s="8">
        <v>5.4739469999999999</v>
      </c>
      <c r="BF4" s="8">
        <v>5.3615000000000004</v>
      </c>
      <c r="BG4" s="8">
        <v>5.0281250000000002</v>
      </c>
      <c r="BH4" s="8">
        <v>4.8995309999999996</v>
      </c>
      <c r="BI4" s="8">
        <v>5.1950000000000003</v>
      </c>
      <c r="BJ4" s="8">
        <v>4.7822279999999999</v>
      </c>
      <c r="BK4" s="8">
        <v>5.0208820000000003</v>
      </c>
      <c r="BL4" s="8">
        <v>5.1182889999999999</v>
      </c>
      <c r="BM4" s="8">
        <v>4.9578949999999997</v>
      </c>
      <c r="BN4" s="8">
        <v>4.7927840000000002</v>
      </c>
      <c r="BO4" s="8">
        <v>5.2227569999999996</v>
      </c>
      <c r="BP4" s="8">
        <v>5.1355519999999997</v>
      </c>
      <c r="BQ4" s="8">
        <v>5.1018819999999998</v>
      </c>
      <c r="BR4" s="8">
        <v>5.4245890000000001</v>
      </c>
      <c r="BS4" s="8">
        <v>5.1302500000000002</v>
      </c>
      <c r="BT4" s="8">
        <v>5.5404489999999997</v>
      </c>
      <c r="BU4" s="8">
        <v>5.322667</v>
      </c>
    </row>
    <row r="5" spans="1:73" x14ac:dyDescent="0.25">
      <c r="A5" s="9" t="s">
        <v>81</v>
      </c>
      <c r="B5" s="5" t="s">
        <v>82</v>
      </c>
      <c r="C5" s="3">
        <v>0.28718309227821498</v>
      </c>
      <c r="D5" s="3">
        <v>1.60926193039591E-2</v>
      </c>
      <c r="E5" s="10">
        <v>1.827027488942524E-3</v>
      </c>
      <c r="F5" s="2">
        <v>4.334764957587842E-3</v>
      </c>
      <c r="G5" s="2">
        <v>7.1862946428571401</v>
      </c>
      <c r="H5" s="5">
        <v>6.6358268398267697</v>
      </c>
      <c r="I5" s="2">
        <f t="shared" si="0"/>
        <v>0.55046780303037046</v>
      </c>
      <c r="J5">
        <v>6</v>
      </c>
      <c r="K5">
        <v>4</v>
      </c>
      <c r="L5" s="5">
        <v>0.102655976451711</v>
      </c>
      <c r="M5" s="5">
        <v>3.5720739158044003E-2</v>
      </c>
      <c r="N5" s="6">
        <v>27.9949414141619</v>
      </c>
      <c r="O5" s="3">
        <v>6.6259180776864399</v>
      </c>
      <c r="P5" s="3" t="s">
        <v>75</v>
      </c>
      <c r="Q5" s="3">
        <v>0.28718309227821498</v>
      </c>
      <c r="R5" s="3">
        <v>0</v>
      </c>
      <c r="S5" s="3">
        <v>0</v>
      </c>
      <c r="T5" s="3">
        <v>0</v>
      </c>
      <c r="U5">
        <v>0</v>
      </c>
      <c r="V5" s="3">
        <f>G5+U5</f>
        <v>7.1862946428571401</v>
      </c>
      <c r="W5" s="7">
        <v>9.4600000000000009</v>
      </c>
      <c r="X5" s="7">
        <v>8.0649999999999995</v>
      </c>
      <c r="Y5" s="7">
        <v>8.3125</v>
      </c>
      <c r="Z5" s="7">
        <v>7.6</v>
      </c>
      <c r="AA5" s="7">
        <v>4.84</v>
      </c>
      <c r="AB5" s="7">
        <v>7.21</v>
      </c>
      <c r="AC5" s="7">
        <v>6.5609089999999997</v>
      </c>
      <c r="AD5" s="7">
        <v>6.9429999999999996</v>
      </c>
      <c r="AE5" s="7">
        <v>7.093</v>
      </c>
      <c r="AF5" s="7">
        <v>6.0309999999999997</v>
      </c>
      <c r="AG5" s="7">
        <v>6.13</v>
      </c>
      <c r="AH5" s="7">
        <v>8.35</v>
      </c>
      <c r="AI5" s="7">
        <v>7.42</v>
      </c>
      <c r="AJ5" s="7">
        <v>8.1357140000000001</v>
      </c>
      <c r="AK5" s="7">
        <v>5.5</v>
      </c>
      <c r="AL5" s="7">
        <v>7.12</v>
      </c>
      <c r="AM5" s="7">
        <v>6.2350000000000003</v>
      </c>
      <c r="AN5" s="13">
        <v>4.57262175231073E-3</v>
      </c>
      <c r="AO5" s="13">
        <v>1.84840425945027E-3</v>
      </c>
      <c r="AP5" s="13">
        <v>2.0020919013206198E-3</v>
      </c>
      <c r="AQ5" s="13">
        <v>1.9402965600901999E-3</v>
      </c>
      <c r="AR5" s="13">
        <v>1.8854587240874599E-3</v>
      </c>
      <c r="AS5" s="13">
        <v>1.71099215694154E-3</v>
      </c>
      <c r="AT5" s="13">
        <v>1.52873887849211E-3</v>
      </c>
      <c r="AU5" s="13">
        <v>1.6701902042453301E-3</v>
      </c>
      <c r="AV5" s="13">
        <v>1.4868330773875199E-3</v>
      </c>
      <c r="AW5" s="13">
        <v>1.46469403670322E-3</v>
      </c>
      <c r="AX5" s="13">
        <v>1.4587382588758201E-3</v>
      </c>
      <c r="AY5" s="13">
        <v>1.5987214070868601E-3</v>
      </c>
      <c r="AZ5" s="13">
        <v>1.5311278148624E-3</v>
      </c>
      <c r="BA5" s="13">
        <v>1.6662156101669E-3</v>
      </c>
      <c r="BB5" s="13">
        <v>1.38756762954006E-3</v>
      </c>
      <c r="BC5" s="13">
        <v>1.6618536266256501E-3</v>
      </c>
      <c r="BD5" s="13">
        <v>1.64492141383615E-3</v>
      </c>
      <c r="BE5" s="8">
        <v>6.58</v>
      </c>
      <c r="BF5" s="8">
        <v>6.742254</v>
      </c>
      <c r="BG5" s="8">
        <v>6.731452</v>
      </c>
      <c r="BH5" s="8">
        <v>6.9440980000000003</v>
      </c>
      <c r="BI5" s="8">
        <v>6.4390000000000001</v>
      </c>
      <c r="BJ5" s="8">
        <v>6.8904579999999997</v>
      </c>
      <c r="BK5" s="8">
        <v>6.4972630000000002</v>
      </c>
      <c r="BL5" s="8">
        <v>6.4785729999999999</v>
      </c>
      <c r="BM5" s="8">
        <v>5.9986379999999997</v>
      </c>
      <c r="BN5" s="8">
        <v>6.5463420000000001</v>
      </c>
      <c r="BO5" s="8">
        <v>6.3842420000000004</v>
      </c>
      <c r="BP5" s="8">
        <v>6.6174080000000002</v>
      </c>
      <c r="BQ5" s="8">
        <v>6.8220169999999998</v>
      </c>
      <c r="BR5" s="8">
        <v>7.2060180000000003</v>
      </c>
      <c r="BS5" s="8">
        <v>6.61313</v>
      </c>
      <c r="BT5" s="8">
        <v>6.6306640000000003</v>
      </c>
      <c r="BU5" s="8">
        <v>7.121378</v>
      </c>
    </row>
    <row r="6" spans="1:73" x14ac:dyDescent="0.25">
      <c r="A6" s="9" t="s">
        <v>83</v>
      </c>
      <c r="B6" s="5" t="s">
        <v>84</v>
      </c>
      <c r="C6" s="3">
        <v>0.33010922094700501</v>
      </c>
      <c r="D6" s="3">
        <v>2.4085650217706499E-2</v>
      </c>
      <c r="E6" s="10">
        <v>2.1001188344308762E-3</v>
      </c>
      <c r="F6" s="2">
        <v>6.3841053170218629E-3</v>
      </c>
      <c r="G6" s="2">
        <v>8.5507894736842207</v>
      </c>
      <c r="H6" s="5">
        <v>8.5226404199473205</v>
      </c>
      <c r="I6" s="2">
        <f t="shared" si="0"/>
        <v>2.8149053736900242E-2</v>
      </c>
      <c r="J6">
        <v>6</v>
      </c>
      <c r="K6">
        <v>4</v>
      </c>
      <c r="L6" s="5">
        <v>6.9902454242898093E-2</v>
      </c>
      <c r="M6" s="5">
        <v>9.8012636283546395E-2</v>
      </c>
      <c r="N6" s="6">
        <v>10.202766070969099</v>
      </c>
      <c r="O6" s="3">
        <v>7.2357990951764997</v>
      </c>
      <c r="P6" s="3" t="s">
        <v>75</v>
      </c>
      <c r="Q6" s="3">
        <v>0.33010922094700501</v>
      </c>
      <c r="R6" s="3">
        <v>0</v>
      </c>
      <c r="S6" s="3">
        <v>0</v>
      </c>
      <c r="T6" s="3">
        <v>0</v>
      </c>
      <c r="U6">
        <v>0</v>
      </c>
      <c r="V6" s="3">
        <f>G6+U6</f>
        <v>8.5507894736842207</v>
      </c>
      <c r="W6" s="7">
        <v>0</v>
      </c>
      <c r="X6" s="7">
        <v>9.5500000000000007</v>
      </c>
      <c r="Y6" s="7">
        <v>9.5500000000000007</v>
      </c>
      <c r="Z6" s="7">
        <v>9.5500000000000007</v>
      </c>
      <c r="AA6" s="7">
        <v>9.5500000000000007</v>
      </c>
      <c r="AB6" s="7">
        <v>7.57</v>
      </c>
      <c r="AC6" s="7">
        <v>8.1999999999999993</v>
      </c>
      <c r="AD6" s="7">
        <v>9.1964290000000002</v>
      </c>
      <c r="AE6" s="7">
        <v>9.1</v>
      </c>
      <c r="AF6" s="7">
        <v>8.444286</v>
      </c>
      <c r="AG6" s="7">
        <v>8.5374999999999996</v>
      </c>
      <c r="AH6" s="7">
        <v>9.5500000000000007</v>
      </c>
      <c r="AI6" s="7">
        <v>9.5500000000000007</v>
      </c>
      <c r="AJ6" s="7">
        <v>0</v>
      </c>
      <c r="AK6" s="7">
        <v>8.0875000000000004</v>
      </c>
      <c r="AL6" s="7">
        <v>3.7</v>
      </c>
      <c r="AM6" s="7">
        <v>8.9124999999999996</v>
      </c>
      <c r="AN6" s="13">
        <v>5.2561054077595098E-3</v>
      </c>
      <c r="AO6" s="13">
        <v>2.1246908557246598E-3</v>
      </c>
      <c r="AP6" s="13">
        <v>2.3013506560093299E-3</v>
      </c>
      <c r="AQ6" s="13">
        <v>2.2303185775192601E-3</v>
      </c>
      <c r="AR6" s="13">
        <v>2.1672839636857101E-3</v>
      </c>
      <c r="AS6" s="13">
        <v>1.9667393490812898E-3</v>
      </c>
      <c r="AT6" s="13">
        <v>1.75724411979497E-3</v>
      </c>
      <c r="AU6" s="13">
        <v>1.91983860464395E-3</v>
      </c>
      <c r="AV6" s="13">
        <v>1.7090745313764601E-3</v>
      </c>
      <c r="AW6" s="13">
        <v>1.68362630106864E-3</v>
      </c>
      <c r="AX6" s="13">
        <v>1.67678029504809E-3</v>
      </c>
      <c r="AY6" s="13">
        <v>1.8376871494004E-3</v>
      </c>
      <c r="AZ6" s="13">
        <v>1.7599901377371499E-3</v>
      </c>
      <c r="BA6" s="13">
        <v>1.91526991592206E-3</v>
      </c>
      <c r="BB6" s="13">
        <v>1.5949715756769099E-3</v>
      </c>
      <c r="BC6" s="13">
        <v>1.91025593345825E-3</v>
      </c>
      <c r="BD6" s="13">
        <v>1.8907928114182001E-3</v>
      </c>
      <c r="BE6" s="8">
        <v>8.5419999999999998</v>
      </c>
      <c r="BF6" s="8">
        <v>8.6534619999999993</v>
      </c>
      <c r="BG6" s="8">
        <v>8.837059</v>
      </c>
      <c r="BH6" s="8">
        <v>8.5414290000000008</v>
      </c>
      <c r="BI6" s="8">
        <v>8.85</v>
      </c>
      <c r="BJ6" s="8">
        <v>8.4016959999999994</v>
      </c>
      <c r="BK6" s="8">
        <v>8.6077779999999997</v>
      </c>
      <c r="BL6" s="8">
        <v>8.4046380000000003</v>
      </c>
      <c r="BM6" s="8">
        <v>8.6213820000000005</v>
      </c>
      <c r="BN6" s="8">
        <v>8.4819720000000007</v>
      </c>
      <c r="BO6" s="8">
        <v>8.4762269999999997</v>
      </c>
      <c r="BP6" s="8">
        <v>8.4759039999999999</v>
      </c>
      <c r="BQ6" s="8">
        <v>8.4815839999999998</v>
      </c>
      <c r="BR6" s="8">
        <v>7.966234</v>
      </c>
      <c r="BS6" s="8">
        <v>8.3170000000000002</v>
      </c>
      <c r="BT6" s="8">
        <v>8.6363289999999999</v>
      </c>
      <c r="BU6" s="8">
        <v>8.4626760000000001</v>
      </c>
    </row>
    <row r="7" spans="1:73" x14ac:dyDescent="0.25">
      <c r="A7" s="9" t="s">
        <v>85</v>
      </c>
      <c r="B7" s="5" t="s">
        <v>86</v>
      </c>
      <c r="C7" s="3">
        <v>0.37565762538980302</v>
      </c>
      <c r="D7" s="3">
        <v>1.7054247018510101E-2</v>
      </c>
      <c r="E7" s="10">
        <v>3.366344978130386E-3</v>
      </c>
      <c r="F7" s="2">
        <v>6.5588945904861617E-3</v>
      </c>
      <c r="G7" s="2">
        <v>6.1794062500000004</v>
      </c>
      <c r="H7" s="5">
        <v>5.9710521853805396</v>
      </c>
      <c r="I7" s="2">
        <f t="shared" si="0"/>
        <v>0.20835406461946082</v>
      </c>
      <c r="J7">
        <v>2</v>
      </c>
      <c r="K7">
        <v>3</v>
      </c>
      <c r="L7" s="5">
        <v>0.22529936964959699</v>
      </c>
      <c r="M7" s="5">
        <v>0.115107667106379</v>
      </c>
      <c r="N7" s="6">
        <v>8.6875186087806906</v>
      </c>
      <c r="O7" s="3">
        <v>6.7039958923009699</v>
      </c>
      <c r="P7" s="3" t="s">
        <v>75</v>
      </c>
      <c r="Q7" s="3">
        <v>0.37565762538980302</v>
      </c>
      <c r="R7" s="3">
        <v>0</v>
      </c>
      <c r="S7" s="3">
        <v>0</v>
      </c>
      <c r="T7" s="3">
        <v>0</v>
      </c>
      <c r="U7">
        <v>3.6689985772020401</v>
      </c>
      <c r="V7" s="3">
        <f>G7+U7</f>
        <v>9.8484048272020406</v>
      </c>
      <c r="W7" s="7">
        <v>4.5999999999999996</v>
      </c>
      <c r="X7" s="7">
        <v>6.55</v>
      </c>
      <c r="Y7" s="7">
        <v>6.22</v>
      </c>
      <c r="Z7" s="7">
        <v>5.95</v>
      </c>
      <c r="AA7" s="7">
        <v>5.05</v>
      </c>
      <c r="AB7" s="7">
        <v>9.5500000000000007</v>
      </c>
      <c r="AC7" s="7">
        <v>5.95</v>
      </c>
      <c r="AD7" s="7">
        <v>4.9420000000000002</v>
      </c>
      <c r="AE7" s="7">
        <v>4.2039999999999997</v>
      </c>
      <c r="AF7" s="7">
        <v>5.3949999999999996</v>
      </c>
      <c r="AG7" s="7">
        <v>5.36</v>
      </c>
      <c r="AH7" s="7">
        <v>6.76</v>
      </c>
      <c r="AI7" s="7">
        <v>6.8724999999999996</v>
      </c>
      <c r="AJ7" s="7">
        <v>6.6</v>
      </c>
      <c r="AK7" s="7">
        <v>5.4550000000000001</v>
      </c>
      <c r="AL7" s="7">
        <v>7.66</v>
      </c>
      <c r="AM7" s="7">
        <v>6.5012499999999998</v>
      </c>
      <c r="AN7" s="13">
        <v>8.4251727825345405E-3</v>
      </c>
      <c r="AO7" s="13">
        <v>3.4057322257131E-3</v>
      </c>
      <c r="AP7" s="13">
        <v>3.6889056451291399E-3</v>
      </c>
      <c r="AQ7" s="13">
        <v>3.5750461449947E-3</v>
      </c>
      <c r="AR7" s="13">
        <v>3.4740060265746999E-3</v>
      </c>
      <c r="AS7" s="13">
        <v>3.1525469047399999E-3</v>
      </c>
      <c r="AT7" s="13">
        <v>2.8167405677422199E-3</v>
      </c>
      <c r="AU7" s="13">
        <v>3.0773682610752999E-3</v>
      </c>
      <c r="AV7" s="13">
        <v>2.7395280550916198E-3</v>
      </c>
      <c r="AW7" s="13">
        <v>2.6987363051703601E-3</v>
      </c>
      <c r="AX7" s="13">
        <v>2.6877626318668698E-3</v>
      </c>
      <c r="AY7" s="13">
        <v>2.9456851704466702E-3</v>
      </c>
      <c r="AZ7" s="13">
        <v>2.8211422442368799E-3</v>
      </c>
      <c r="BA7" s="13">
        <v>3.07004496961034E-3</v>
      </c>
      <c r="BB7" s="13">
        <v>2.5566289230941099E-3</v>
      </c>
      <c r="BC7" s="13">
        <v>3.0620079031306899E-3</v>
      </c>
      <c r="BD7" s="13">
        <v>3.0308098670652601E-3</v>
      </c>
      <c r="BE7" s="8">
        <v>5.9271739999999999</v>
      </c>
      <c r="BF7" s="8">
        <v>6.189654</v>
      </c>
      <c r="BG7" s="8">
        <v>6.172974</v>
      </c>
      <c r="BH7" s="8">
        <v>6.1157630000000003</v>
      </c>
      <c r="BI7" s="8">
        <v>5.8108040000000001</v>
      </c>
      <c r="BJ7" s="8">
        <v>6.225676</v>
      </c>
      <c r="BK7" s="8">
        <v>5.7663729999999997</v>
      </c>
      <c r="BL7" s="8">
        <v>5.4844439999999999</v>
      </c>
      <c r="BM7" s="8">
        <v>5.4660190000000002</v>
      </c>
      <c r="BN7" s="8">
        <v>6.1312540000000002</v>
      </c>
      <c r="BO7" s="8">
        <v>5.4479660000000001</v>
      </c>
      <c r="BP7" s="8">
        <v>6.1581580000000002</v>
      </c>
      <c r="BQ7" s="8">
        <v>6.0841349999999998</v>
      </c>
      <c r="BR7" s="8">
        <v>6.3357659999999996</v>
      </c>
      <c r="BS7" s="8">
        <v>6.4324000000000003</v>
      </c>
      <c r="BT7" s="8">
        <v>6.13</v>
      </c>
      <c r="BU7" s="8">
        <v>6.1598560000000004</v>
      </c>
    </row>
    <row r="8" spans="1:73" x14ac:dyDescent="0.25">
      <c r="A8" s="9" t="s">
        <v>87</v>
      </c>
      <c r="B8" s="5" t="s">
        <v>88</v>
      </c>
      <c r="C8" s="3">
        <v>0.371122189408921</v>
      </c>
      <c r="D8" s="3">
        <v>3.00013122206449E-2</v>
      </c>
      <c r="E8" s="10">
        <v>2.5865893707903509E-3</v>
      </c>
      <c r="F8" s="2">
        <v>2.2842478506556528E-3</v>
      </c>
      <c r="G8" s="2">
        <v>4.7973170731707304</v>
      </c>
      <c r="H8" s="5">
        <v>5.1782645206437898</v>
      </c>
      <c r="I8" s="2">
        <f t="shared" si="0"/>
        <v>-0.38094744747305942</v>
      </c>
      <c r="J8">
        <v>3</v>
      </c>
      <c r="K8">
        <v>2</v>
      </c>
      <c r="L8" s="5">
        <v>8.6246576632027602E-2</v>
      </c>
      <c r="M8" s="5">
        <v>8.5221363146236601E-2</v>
      </c>
      <c r="N8" s="6">
        <v>11.7341469683375</v>
      </c>
      <c r="O8" s="3">
        <v>6.2861122347175398</v>
      </c>
      <c r="P8" s="3" t="s">
        <v>75</v>
      </c>
      <c r="Q8" s="3">
        <v>0.371122189408921</v>
      </c>
      <c r="R8" s="3">
        <v>0</v>
      </c>
      <c r="S8" s="3">
        <v>0</v>
      </c>
      <c r="T8" s="3">
        <v>0</v>
      </c>
      <c r="U8">
        <v>0</v>
      </c>
      <c r="V8" s="3">
        <f>G8+U8</f>
        <v>4.7973170731707304</v>
      </c>
      <c r="W8" s="7">
        <v>0</v>
      </c>
      <c r="X8" s="7">
        <v>4.57</v>
      </c>
      <c r="Y8" s="7">
        <v>6.625</v>
      </c>
      <c r="Z8" s="7">
        <v>3.7</v>
      </c>
      <c r="AA8" s="7">
        <v>5.5</v>
      </c>
      <c r="AB8" s="7">
        <v>2.8</v>
      </c>
      <c r="AC8" s="7">
        <v>5.4524999999999997</v>
      </c>
      <c r="AD8" s="7">
        <v>7.5250000000000004</v>
      </c>
      <c r="AE8" s="7">
        <v>5.47</v>
      </c>
      <c r="AF8" s="7">
        <v>3.7</v>
      </c>
      <c r="AG8" s="7">
        <v>4.1500000000000004</v>
      </c>
      <c r="AH8" s="7">
        <v>5.5</v>
      </c>
      <c r="AI8" s="7">
        <v>0</v>
      </c>
      <c r="AJ8" s="7">
        <v>5.05</v>
      </c>
      <c r="AK8" s="7">
        <v>3.8157139999999998</v>
      </c>
      <c r="AL8" s="7">
        <v>4.5999999999999996</v>
      </c>
      <c r="AM8" s="7">
        <v>5.5</v>
      </c>
      <c r="AN8" s="13">
        <v>6.4736271855533904E-3</v>
      </c>
      <c r="AO8" s="13">
        <v>2.6168532435080901E-3</v>
      </c>
      <c r="AP8" s="13">
        <v>2.8344344366152499E-3</v>
      </c>
      <c r="AQ8" s="13">
        <v>2.74694852096354E-3</v>
      </c>
      <c r="AR8" s="13">
        <v>2.6693125989096702E-3</v>
      </c>
      <c r="AS8" s="13">
        <v>2.42231392435819E-3</v>
      </c>
      <c r="AT8" s="13">
        <v>2.1642913189611301E-3</v>
      </c>
      <c r="AU8" s="13">
        <v>2.3645491135984901E-3</v>
      </c>
      <c r="AV8" s="13">
        <v>2.1049637497988702E-3</v>
      </c>
      <c r="AW8" s="13">
        <v>2.0736207034243201E-3</v>
      </c>
      <c r="AX8" s="13">
        <v>2.0651888917978499E-3</v>
      </c>
      <c r="AY8" s="13">
        <v>2.2633681340062002E-3</v>
      </c>
      <c r="AZ8" s="13">
        <v>2.1676734232043702E-3</v>
      </c>
      <c r="BA8" s="13">
        <v>2.3589221359757201E-3</v>
      </c>
      <c r="BB8" s="13">
        <v>1.96443003925377E-3</v>
      </c>
      <c r="BC8" s="13">
        <v>2.3527467169786702E-3</v>
      </c>
      <c r="BD8" s="13">
        <v>2.3287751665283601E-3</v>
      </c>
      <c r="BE8" s="8">
        <v>4.0489660000000001</v>
      </c>
      <c r="BF8" s="8">
        <v>5.3908329999999998</v>
      </c>
      <c r="BG8" s="8">
        <v>5.3314620000000001</v>
      </c>
      <c r="BH8" s="8">
        <v>5.390244</v>
      </c>
      <c r="BI8" s="8">
        <v>5.8488889999999998</v>
      </c>
      <c r="BJ8" s="8">
        <v>5.0558439999999996</v>
      </c>
      <c r="BK8" s="8">
        <v>5.079879</v>
      </c>
      <c r="BL8" s="8">
        <v>5.50387</v>
      </c>
      <c r="BM8" s="8">
        <v>5.0915650000000001</v>
      </c>
      <c r="BN8" s="8">
        <v>5.0186500000000001</v>
      </c>
      <c r="BO8" s="8">
        <v>5.1250780000000002</v>
      </c>
      <c r="BP8" s="8">
        <v>5.0678179999999999</v>
      </c>
      <c r="BQ8" s="8">
        <v>5.2862499999999999</v>
      </c>
      <c r="BR8" s="8">
        <v>5.576829</v>
      </c>
      <c r="BS8" s="8">
        <v>4.9227590000000001</v>
      </c>
      <c r="BT8" s="8">
        <v>5.2028569999999998</v>
      </c>
      <c r="BU8" s="8">
        <v>5.0056250000000002</v>
      </c>
    </row>
    <row r="9" spans="1:73" x14ac:dyDescent="0.25">
      <c r="A9" s="9" t="s">
        <v>89</v>
      </c>
      <c r="B9" s="5" t="s">
        <v>90</v>
      </c>
      <c r="C9" s="3">
        <v>0.44017340929399801</v>
      </c>
      <c r="D9" s="3">
        <v>1.0006155027089901E-2</v>
      </c>
      <c r="E9" s="10">
        <v>2.8003351879176369E-3</v>
      </c>
      <c r="F9" s="2">
        <v>2.0505012241161486E-2</v>
      </c>
      <c r="G9" s="2">
        <v>7.04629152542371</v>
      </c>
      <c r="H9" s="5">
        <v>7.1036501808140997</v>
      </c>
      <c r="I9" s="2">
        <f t="shared" si="0"/>
        <v>-5.7358655390389757E-2</v>
      </c>
      <c r="J9">
        <v>4</v>
      </c>
      <c r="K9">
        <v>1</v>
      </c>
      <c r="L9" s="5">
        <v>4.7082012668695099E-2</v>
      </c>
      <c r="M9" s="5">
        <v>4.5632665540511798E-2</v>
      </c>
      <c r="N9" s="6">
        <v>21.9141263863322</v>
      </c>
      <c r="O9" s="3">
        <v>6.9096968141381803</v>
      </c>
      <c r="P9" s="3" t="s">
        <v>75</v>
      </c>
      <c r="Q9" s="3">
        <v>0.44017340929399801</v>
      </c>
      <c r="R9" s="3">
        <v>0</v>
      </c>
      <c r="S9" s="3">
        <v>0</v>
      </c>
      <c r="T9" s="3">
        <v>0</v>
      </c>
      <c r="U9">
        <v>0</v>
      </c>
      <c r="V9" s="3">
        <f>G9+U9</f>
        <v>7.04629152542371</v>
      </c>
      <c r="W9" s="7">
        <v>6.7874999999999996</v>
      </c>
      <c r="X9" s="7">
        <v>7.8</v>
      </c>
      <c r="Y9" s="7">
        <v>7.3835709999999999</v>
      </c>
      <c r="Z9" s="7">
        <v>6.8612500000000001</v>
      </c>
      <c r="AA9" s="7">
        <v>6.7960000000000003</v>
      </c>
      <c r="AB9" s="7">
        <v>4.7671429999999999</v>
      </c>
      <c r="AC9" s="7">
        <v>7.4432499999999999</v>
      </c>
      <c r="AD9" s="7">
        <v>6.8885709999999998</v>
      </c>
      <c r="AE9" s="7">
        <v>6.8242859999999999</v>
      </c>
      <c r="AF9" s="7">
        <v>8.7568750000000009</v>
      </c>
      <c r="AG9" s="7">
        <v>6.3446670000000003</v>
      </c>
      <c r="AH9" s="7">
        <v>6.2067649999999999</v>
      </c>
      <c r="AI9" s="7">
        <v>7.5047499999999996</v>
      </c>
      <c r="AJ9" s="7">
        <v>7.5170589999999997</v>
      </c>
      <c r="AK9" s="7">
        <v>6.7192860000000003</v>
      </c>
      <c r="AL9" s="7">
        <v>6.3475000000000001</v>
      </c>
      <c r="AM9" s="7">
        <v>7.6431250000000004</v>
      </c>
      <c r="AN9" s="13">
        <v>7.00858288752116E-3</v>
      </c>
      <c r="AO9" s="13">
        <v>2.8330999509106301E-3</v>
      </c>
      <c r="AP9" s="13">
        <v>3.0686612186432401E-3</v>
      </c>
      <c r="AQ9" s="13">
        <v>2.97394580273174E-3</v>
      </c>
      <c r="AR9" s="13">
        <v>2.8898943460803701E-3</v>
      </c>
      <c r="AS9" s="13">
        <v>2.6224846491542E-3</v>
      </c>
      <c r="AT9" s="13">
        <v>2.3431400460520802E-3</v>
      </c>
      <c r="AU9" s="13">
        <v>2.5599463761602301E-3</v>
      </c>
      <c r="AV9" s="13">
        <v>2.2789098742997198E-3</v>
      </c>
      <c r="AW9" s="13">
        <v>2.24497675888127E-3</v>
      </c>
      <c r="AX9" s="13">
        <v>2.2358481747070101E-3</v>
      </c>
      <c r="AY9" s="13">
        <v>2.4504041887918101E-3</v>
      </c>
      <c r="AZ9" s="13">
        <v>2.3468016344079701E-3</v>
      </c>
      <c r="BA9" s="13">
        <v>2.5538544067055398E-3</v>
      </c>
      <c r="BB9" s="13">
        <v>2.1267629973457502E-3</v>
      </c>
      <c r="BC9" s="13">
        <v>2.5471686747865598E-3</v>
      </c>
      <c r="BD9" s="13">
        <v>2.5212162074204599E-3</v>
      </c>
      <c r="BE9" s="8">
        <v>7.2873450000000002</v>
      </c>
      <c r="BF9" s="8">
        <v>7.2671580000000002</v>
      </c>
      <c r="BG9" s="8">
        <v>7.28348</v>
      </c>
      <c r="BH9" s="8">
        <v>7.4388730000000001</v>
      </c>
      <c r="BI9" s="8">
        <v>7.284592</v>
      </c>
      <c r="BJ9" s="8">
        <v>6.753349</v>
      </c>
      <c r="BK9" s="8">
        <v>6.9866429999999999</v>
      </c>
      <c r="BL9" s="8">
        <v>6.9997319999999998</v>
      </c>
      <c r="BM9" s="8">
        <v>7.0288579999999996</v>
      </c>
      <c r="BN9" s="8">
        <v>7.108295</v>
      </c>
      <c r="BO9" s="8">
        <v>6.9121490000000003</v>
      </c>
      <c r="BP9" s="8">
        <v>6.9762630000000003</v>
      </c>
      <c r="BQ9" s="8">
        <v>7.2723420000000001</v>
      </c>
      <c r="BR9" s="8">
        <v>7.3086679999999999</v>
      </c>
      <c r="BS9" s="8">
        <v>7.4145190000000003</v>
      </c>
      <c r="BT9" s="8">
        <v>6.9363320000000002</v>
      </c>
      <c r="BU9" s="8">
        <v>7.1670590000000001</v>
      </c>
    </row>
    <row r="10" spans="1:73" x14ac:dyDescent="0.25">
      <c r="A10" s="9" t="s">
        <v>91</v>
      </c>
      <c r="B10" s="5" t="s">
        <v>92</v>
      </c>
      <c r="C10" s="3">
        <v>0.87757994580409504</v>
      </c>
      <c r="D10" s="3">
        <v>6.6520274631724496E-2</v>
      </c>
      <c r="E10" s="10">
        <v>5.5830678331699251E-3</v>
      </c>
      <c r="F10" s="2">
        <v>4.3232397841936627E-3</v>
      </c>
      <c r="G10" s="2">
        <v>8.7062500000000007</v>
      </c>
      <c r="H10" s="5">
        <v>8.9806572541383005</v>
      </c>
      <c r="I10" s="2">
        <f t="shared" si="0"/>
        <v>-0.27440725413829981</v>
      </c>
      <c r="J10">
        <v>3</v>
      </c>
      <c r="K10">
        <v>2</v>
      </c>
      <c r="L10" s="5">
        <v>0.13748785273196901</v>
      </c>
      <c r="M10" s="5">
        <v>0.223237232807903</v>
      </c>
      <c r="N10" s="6">
        <v>4.4795394899940604</v>
      </c>
      <c r="O10" s="3">
        <v>9.5500000000000007</v>
      </c>
      <c r="P10" s="3" t="s">
        <v>75</v>
      </c>
      <c r="Q10" s="3">
        <v>0.87757994580409504</v>
      </c>
      <c r="R10" s="3">
        <v>0</v>
      </c>
      <c r="S10" s="3">
        <v>0</v>
      </c>
      <c r="T10" s="3">
        <v>0</v>
      </c>
      <c r="U10">
        <v>1.2454188021335999</v>
      </c>
      <c r="V10" s="3">
        <f>G10+U10</f>
        <v>9.9516688021336002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2.8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9.5500000000000007</v>
      </c>
      <c r="AK10" s="7">
        <v>9.5500000000000007</v>
      </c>
      <c r="AL10" s="7">
        <v>9.5500000000000007</v>
      </c>
      <c r="AM10" s="7">
        <v>9.5500000000000007</v>
      </c>
      <c r="AN10" s="13">
        <v>1.3973110734833699E-2</v>
      </c>
      <c r="AO10" s="13">
        <v>5.6483914041184696E-3</v>
      </c>
      <c r="AP10" s="13">
        <v>6.1180332321014398E-3</v>
      </c>
      <c r="AQ10" s="13">
        <v>5.9291977690602996E-3</v>
      </c>
      <c r="AR10" s="13">
        <v>5.7616231922789102E-3</v>
      </c>
      <c r="AS10" s="13">
        <v>5.2284847009912098E-3</v>
      </c>
      <c r="AT10" s="13">
        <v>4.6715514186191302E-3</v>
      </c>
      <c r="AU10" s="13">
        <v>5.1038012624510399E-3</v>
      </c>
      <c r="AV10" s="13">
        <v>4.5434948176176502E-3</v>
      </c>
      <c r="AW10" s="13">
        <v>4.4758418859295298E-3</v>
      </c>
      <c r="AX10" s="13">
        <v>4.4576420986734899E-3</v>
      </c>
      <c r="AY10" s="13">
        <v>4.8854054556524704E-3</v>
      </c>
      <c r="AZ10" s="13">
        <v>4.6788515790628796E-3</v>
      </c>
      <c r="BA10" s="13">
        <v>5.0916556168690797E-3</v>
      </c>
      <c r="BB10" s="13">
        <v>4.2401574391838E-3</v>
      </c>
      <c r="BC10" s="13">
        <v>5.0783261786721398E-3</v>
      </c>
      <c r="BD10" s="13">
        <v>5.02658437777338E-3</v>
      </c>
      <c r="BE10" s="8">
        <v>8.9350000000000005</v>
      </c>
      <c r="BF10" s="8">
        <v>9.4187499999999993</v>
      </c>
      <c r="BG10" s="8">
        <v>9.5172729999999994</v>
      </c>
      <c r="BH10" s="8">
        <v>9.19</v>
      </c>
      <c r="BI10" s="8">
        <v>9.0659089999999996</v>
      </c>
      <c r="BJ10" s="8">
        <v>9.0124320000000004</v>
      </c>
      <c r="BK10" s="8">
        <v>9.0206879999999998</v>
      </c>
      <c r="BL10" s="8">
        <v>9.0516249999999996</v>
      </c>
      <c r="BM10" s="8">
        <v>8.8292739999999998</v>
      </c>
      <c r="BN10" s="8">
        <v>8.8446840000000009</v>
      </c>
      <c r="BO10" s="8">
        <v>8.7436819999999997</v>
      </c>
      <c r="BP10" s="8">
        <v>8.8505380000000002</v>
      </c>
      <c r="BQ10" s="8">
        <v>9.0273679999999992</v>
      </c>
      <c r="BR10" s="8">
        <v>8.7057140000000004</v>
      </c>
      <c r="BS10" s="8">
        <v>9.3699999999999992</v>
      </c>
      <c r="BT10" s="8">
        <v>9.0710709999999999</v>
      </c>
      <c r="BU10" s="8">
        <v>8.8382649999999998</v>
      </c>
    </row>
    <row r="11" spans="1:73" x14ac:dyDescent="0.25">
      <c r="A11" s="9" t="s">
        <v>93</v>
      </c>
      <c r="B11" s="5" t="s">
        <v>94</v>
      </c>
      <c r="C11" s="3">
        <v>0.33286575153755299</v>
      </c>
      <c r="D11" s="3">
        <v>3.00971454589864E-2</v>
      </c>
      <c r="E11" s="10">
        <v>2.117655581190894E-3</v>
      </c>
      <c r="F11" s="2">
        <v>2.3100709398309388E-3</v>
      </c>
      <c r="G11" s="2">
        <v>5.1817073170731698</v>
      </c>
      <c r="H11" s="5">
        <v>6.0078485958486096</v>
      </c>
      <c r="I11" s="2">
        <f t="shared" si="0"/>
        <v>-0.82614127877543986</v>
      </c>
      <c r="J11">
        <v>7</v>
      </c>
      <c r="K11">
        <v>4</v>
      </c>
      <c r="L11" s="5">
        <v>0.15483332878179501</v>
      </c>
      <c r="M11" s="5">
        <v>9.7212078007365796E-2</v>
      </c>
      <c r="N11" s="6">
        <v>10.2867876142328</v>
      </c>
      <c r="O11" s="3">
        <v>6.8563045207075204</v>
      </c>
      <c r="P11" s="3" t="s">
        <v>75</v>
      </c>
      <c r="Q11" s="3">
        <v>0.33286575153755299</v>
      </c>
      <c r="R11" s="3">
        <v>0</v>
      </c>
      <c r="S11" s="3">
        <v>0</v>
      </c>
      <c r="T11" s="3">
        <v>0</v>
      </c>
      <c r="U11">
        <v>0</v>
      </c>
      <c r="V11" s="3">
        <f>G11+U11</f>
        <v>5.1817073170731698</v>
      </c>
      <c r="W11" s="7">
        <v>0</v>
      </c>
      <c r="X11" s="7">
        <v>3.7</v>
      </c>
      <c r="Y11" s="7">
        <v>5.2</v>
      </c>
      <c r="Z11" s="7">
        <v>0</v>
      </c>
      <c r="AA11" s="7">
        <v>0</v>
      </c>
      <c r="AB11" s="7">
        <v>0</v>
      </c>
      <c r="AC11" s="7">
        <v>5.47</v>
      </c>
      <c r="AD11" s="7">
        <v>5.56</v>
      </c>
      <c r="AE11" s="7">
        <v>8.1999999999999993</v>
      </c>
      <c r="AF11" s="7">
        <v>2.7774999999999999</v>
      </c>
      <c r="AG11" s="7">
        <v>6.3250000000000002</v>
      </c>
      <c r="AH11" s="7">
        <v>4.0824999999999996</v>
      </c>
      <c r="AI11" s="7">
        <v>3.7</v>
      </c>
      <c r="AJ11" s="7">
        <v>4.5999999999999996</v>
      </c>
      <c r="AK11" s="7">
        <v>0</v>
      </c>
      <c r="AL11" s="7">
        <v>9.5500000000000007</v>
      </c>
      <c r="AM11" s="7">
        <v>4.57</v>
      </c>
      <c r="AN11" s="13">
        <v>5.2999957762323103E-3</v>
      </c>
      <c r="AO11" s="13">
        <v>2.1424327876902699E-3</v>
      </c>
      <c r="AP11" s="13">
        <v>2.3205677607744399E-3</v>
      </c>
      <c r="AQ11" s="13">
        <v>2.2489425389098602E-3</v>
      </c>
      <c r="AR11" s="13">
        <v>2.1853815634048702E-3</v>
      </c>
      <c r="AS11" s="13">
        <v>1.98316232922048E-3</v>
      </c>
      <c r="AT11" s="13">
        <v>1.7719177395059799E-3</v>
      </c>
      <c r="AU11" s="13">
        <v>1.9358699467174501E-3</v>
      </c>
      <c r="AV11" s="13">
        <v>1.7233459177186899E-3</v>
      </c>
      <c r="AW11" s="13">
        <v>1.69768518554522E-3</v>
      </c>
      <c r="AX11" s="13">
        <v>1.6907820129148799E-3</v>
      </c>
      <c r="AY11" s="13">
        <v>1.8530324973087199E-3</v>
      </c>
      <c r="AZ11" s="13">
        <v>1.7746866876845199E-3</v>
      </c>
      <c r="BA11" s="13">
        <v>1.9312631078033701E-3</v>
      </c>
      <c r="BB11" s="13">
        <v>1.6082901613461999E-3</v>
      </c>
      <c r="BC11" s="13">
        <v>1.9262072567846501E-3</v>
      </c>
      <c r="BD11" s="13">
        <v>1.90658161068321E-3</v>
      </c>
      <c r="BE11" s="8">
        <v>5.8852000000000002</v>
      </c>
      <c r="BF11" s="8">
        <v>5.3421209999999997</v>
      </c>
      <c r="BG11" s="8">
        <v>5.7285529999999998</v>
      </c>
      <c r="BH11" s="8">
        <v>6.4720000000000004</v>
      </c>
      <c r="BI11" s="8">
        <v>6.4415380000000004</v>
      </c>
      <c r="BJ11" s="8">
        <v>5.9764119999999998</v>
      </c>
      <c r="BK11" s="8">
        <v>5.9178309999999996</v>
      </c>
      <c r="BL11" s="8">
        <v>6.277228</v>
      </c>
      <c r="BM11" s="8">
        <v>6.1606519999999998</v>
      </c>
      <c r="BN11" s="8">
        <v>6.2942629999999999</v>
      </c>
      <c r="BO11" s="8">
        <v>6.2446380000000001</v>
      </c>
      <c r="BP11" s="8">
        <v>5.8708619999999998</v>
      </c>
      <c r="BQ11" s="8">
        <v>5.6762499999999996</v>
      </c>
      <c r="BR11" s="8">
        <v>6.1854649999999998</v>
      </c>
      <c r="BS11" s="8">
        <v>6.375769</v>
      </c>
      <c r="BT11" s="8">
        <v>5.3097500000000002</v>
      </c>
      <c r="BU11" s="8">
        <v>5.2328720000000004</v>
      </c>
    </row>
    <row r="12" spans="1:73" x14ac:dyDescent="0.25">
      <c r="A12" s="9" t="s">
        <v>95</v>
      </c>
      <c r="B12" s="5" t="s">
        <v>96</v>
      </c>
      <c r="C12" s="3">
        <v>0.50339526286926295</v>
      </c>
      <c r="D12" s="3">
        <v>3.0954528423223202E-2</v>
      </c>
      <c r="E12" s="10">
        <v>3.2025457201170998E-3</v>
      </c>
      <c r="F12" s="2">
        <v>3.9340086427095584E-3</v>
      </c>
      <c r="G12" s="2">
        <v>8.1181818181818208</v>
      </c>
      <c r="H12" s="5">
        <v>7.9751970954357603</v>
      </c>
      <c r="I12" s="2">
        <f t="shared" si="0"/>
        <v>0.14298472274606056</v>
      </c>
      <c r="J12">
        <v>2</v>
      </c>
      <c r="K12">
        <v>3</v>
      </c>
      <c r="L12" s="5">
        <v>0.13635131176263199</v>
      </c>
      <c r="M12" s="5">
        <v>0.11687067719423</v>
      </c>
      <c r="N12" s="6">
        <v>8.5564662069860091</v>
      </c>
      <c r="O12" s="3">
        <v>6.8437713509616804</v>
      </c>
      <c r="P12" s="3" t="s">
        <v>75</v>
      </c>
      <c r="Q12" s="3">
        <v>0.50339526286926295</v>
      </c>
      <c r="R12" s="3">
        <v>0</v>
      </c>
      <c r="S12" s="3">
        <v>0</v>
      </c>
      <c r="T12" s="3">
        <v>0</v>
      </c>
      <c r="U12">
        <v>1.8818181818181701</v>
      </c>
      <c r="V12" s="3">
        <f>G12+U12</f>
        <v>9.9999999999999911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9.5500000000000007</v>
      </c>
      <c r="AC12" s="7">
        <v>7.6</v>
      </c>
      <c r="AD12" s="7">
        <v>6.625</v>
      </c>
      <c r="AE12" s="7">
        <v>0</v>
      </c>
      <c r="AF12" s="7">
        <v>8.1999999999999993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9.5500000000000007</v>
      </c>
      <c r="AN12" s="13">
        <v>8.0152216160978406E-3</v>
      </c>
      <c r="AO12" s="13">
        <v>3.24001646717145E-3</v>
      </c>
      <c r="AP12" s="13">
        <v>3.5094112642862301E-3</v>
      </c>
      <c r="AQ12" s="13">
        <v>3.4010919276706501E-3</v>
      </c>
      <c r="AR12" s="13">
        <v>3.3049682086495002E-3</v>
      </c>
      <c r="AS12" s="13">
        <v>2.9991506107763101E-3</v>
      </c>
      <c r="AT12" s="13">
        <v>2.6796839030184699E-3</v>
      </c>
      <c r="AU12" s="13">
        <v>2.9276300016062001E-3</v>
      </c>
      <c r="AV12" s="13">
        <v>2.6062283886445401E-3</v>
      </c>
      <c r="AW12" s="13">
        <v>2.56742147937793E-3</v>
      </c>
      <c r="AX12" s="13">
        <v>2.5569817619097699E-3</v>
      </c>
      <c r="AY12" s="13">
        <v>2.8023543328781798E-3</v>
      </c>
      <c r="AZ12" s="13">
        <v>2.6838714032036502E-3</v>
      </c>
      <c r="BA12" s="13">
        <v>2.9206630460830302E-3</v>
      </c>
      <c r="BB12" s="13">
        <v>2.4322287432733498E-3</v>
      </c>
      <c r="BC12" s="13">
        <v>2.9130170463343699E-3</v>
      </c>
      <c r="BD12" s="13">
        <v>2.8833370410091602E-3</v>
      </c>
      <c r="BE12" s="8">
        <v>8.0991999999999997</v>
      </c>
      <c r="BF12" s="8">
        <v>8.6037210000000002</v>
      </c>
      <c r="BG12" s="8">
        <v>7.6308819999999997</v>
      </c>
      <c r="BH12" s="8">
        <v>8.2683999999999997</v>
      </c>
      <c r="BI12" s="8">
        <v>8.8938710000000007</v>
      </c>
      <c r="BJ12" s="8">
        <v>8.2670209999999997</v>
      </c>
      <c r="BK12" s="8">
        <v>7.8953980000000001</v>
      </c>
      <c r="BL12" s="8">
        <v>7.6974210000000003</v>
      </c>
      <c r="BM12" s="8">
        <v>7.8680649999999996</v>
      </c>
      <c r="BN12" s="8">
        <v>7.9184460000000003</v>
      </c>
      <c r="BO12" s="8">
        <v>7.9405950000000001</v>
      </c>
      <c r="BP12" s="8">
        <v>7.7715930000000002</v>
      </c>
      <c r="BQ12" s="8">
        <v>7.6910420000000004</v>
      </c>
      <c r="BR12" s="8">
        <v>8.0137929999999997</v>
      </c>
      <c r="BS12" s="8">
        <v>7.7645949999999999</v>
      </c>
      <c r="BT12" s="8">
        <v>8.0549999999999997</v>
      </c>
      <c r="BU12" s="8">
        <v>8.4177420000000005</v>
      </c>
    </row>
    <row r="13" spans="1:73" x14ac:dyDescent="0.25">
      <c r="A13" s="9" t="s">
        <v>97</v>
      </c>
      <c r="B13" s="5" t="s">
        <v>98</v>
      </c>
      <c r="C13" s="3">
        <v>0.281530770164581</v>
      </c>
      <c r="D13" s="3">
        <v>3.8731051940657603E-2</v>
      </c>
      <c r="E13" s="10">
        <v>1.7910680325690881E-3</v>
      </c>
      <c r="F13" s="2">
        <v>1.2675353010053192E-3</v>
      </c>
      <c r="G13" s="12">
        <v>5.4024999999999999</v>
      </c>
      <c r="H13" s="5">
        <v>4.97628620102215</v>
      </c>
      <c r="I13" s="2">
        <f t="shared" si="0"/>
        <v>0.42621379897784983</v>
      </c>
      <c r="J13">
        <v>6</v>
      </c>
      <c r="K13">
        <v>4</v>
      </c>
      <c r="L13" s="5">
        <v>0.46540543965683701</v>
      </c>
      <c r="M13" s="5">
        <v>0.109358706047337</v>
      </c>
      <c r="N13" s="6">
        <v>9.1442193872259292</v>
      </c>
      <c r="O13" s="3">
        <v>6.1869599412893104</v>
      </c>
      <c r="P13" s="3" t="s">
        <v>75</v>
      </c>
      <c r="Q13" s="3">
        <v>0.281530770164581</v>
      </c>
      <c r="R13" s="3">
        <v>0</v>
      </c>
      <c r="S13" s="3">
        <v>0</v>
      </c>
      <c r="T13" s="3">
        <v>0</v>
      </c>
      <c r="U13">
        <v>0</v>
      </c>
      <c r="V13" s="3">
        <f>G13+U13</f>
        <v>5.4024999999999999</v>
      </c>
      <c r="W13" s="7">
        <v>0</v>
      </c>
      <c r="X13" s="7">
        <v>0</v>
      </c>
      <c r="Y13" s="7">
        <v>3.61</v>
      </c>
      <c r="Z13" s="7">
        <v>0</v>
      </c>
      <c r="AA13" s="7">
        <v>0</v>
      </c>
      <c r="AB13" s="7">
        <v>2.8</v>
      </c>
      <c r="AC13" s="7">
        <v>0</v>
      </c>
      <c r="AD13" s="7">
        <v>2.8</v>
      </c>
      <c r="AE13" s="7">
        <v>6.1749999999999998</v>
      </c>
      <c r="AF13" s="7">
        <v>3.7</v>
      </c>
      <c r="AG13" s="7">
        <v>6.13</v>
      </c>
      <c r="AH13" s="7">
        <v>8.65</v>
      </c>
      <c r="AI13" s="7">
        <v>9.5500000000000007</v>
      </c>
      <c r="AJ13" s="7">
        <v>0</v>
      </c>
      <c r="AK13" s="7">
        <v>3.61</v>
      </c>
      <c r="AL13" s="7">
        <v>0</v>
      </c>
      <c r="AM13" s="7">
        <v>0</v>
      </c>
      <c r="AN13" s="13">
        <v>4.4826236579144502E-3</v>
      </c>
      <c r="AO13" s="13">
        <v>1.8120240666340999E-3</v>
      </c>
      <c r="AP13" s="13">
        <v>1.96268683663667E-3</v>
      </c>
      <c r="AQ13" s="13">
        <v>1.90210774797524E-3</v>
      </c>
      <c r="AR13" s="13">
        <v>1.84834922729933E-3</v>
      </c>
      <c r="AS13" s="13">
        <v>1.6773165017063599E-3</v>
      </c>
      <c r="AT13" s="13">
        <v>1.4986503224412499E-3</v>
      </c>
      <c r="AU13" s="13">
        <v>1.6373176108396999E-3</v>
      </c>
      <c r="AV13" s="13">
        <v>1.45756930905099E-3</v>
      </c>
      <c r="AW13" s="13">
        <v>1.4358660077698701E-3</v>
      </c>
      <c r="AX13" s="13">
        <v>1.4300274512400401E-3</v>
      </c>
      <c r="AY13" s="13">
        <v>1.5672554586874199E-3</v>
      </c>
      <c r="AZ13" s="13">
        <v>1.5009922398949E-3</v>
      </c>
      <c r="BA13" s="13">
        <v>1.63342124450729E-3</v>
      </c>
      <c r="BB13" s="13">
        <v>1.3602575983874801E-3</v>
      </c>
      <c r="BC13" s="13">
        <v>1.62914511329054E-3</v>
      </c>
      <c r="BD13" s="13">
        <v>1.6125461593987801E-3</v>
      </c>
      <c r="BE13" s="8">
        <v>3.933182</v>
      </c>
      <c r="BF13" s="8">
        <v>4.7644000000000002</v>
      </c>
      <c r="BG13" s="8">
        <v>5.7647830000000004</v>
      </c>
      <c r="BH13" s="8">
        <v>4.0599999999999996</v>
      </c>
      <c r="BI13" s="8">
        <v>5.1261539999999997</v>
      </c>
      <c r="BJ13" s="8">
        <v>4.3334619999999999</v>
      </c>
      <c r="BK13" s="8">
        <v>4.3899999999999997</v>
      </c>
      <c r="BL13" s="8">
        <v>5.0715630000000003</v>
      </c>
      <c r="BM13" s="8">
        <v>4.8938240000000004</v>
      </c>
      <c r="BN13" s="8">
        <v>4.9516349999999996</v>
      </c>
      <c r="BO13" s="8">
        <v>4.8033039999999998</v>
      </c>
      <c r="BP13" s="8">
        <v>5.3052729999999997</v>
      </c>
      <c r="BQ13" s="8">
        <v>5.6459460000000004</v>
      </c>
      <c r="BR13" s="8">
        <v>4.8564999999999996</v>
      </c>
      <c r="BS13" s="8">
        <v>5.0949999999999998</v>
      </c>
      <c r="BT13" s="8">
        <v>5.4033329999999999</v>
      </c>
      <c r="BU13" s="8">
        <v>5.23</v>
      </c>
    </row>
    <row r="14" spans="1:73" x14ac:dyDescent="0.25">
      <c r="A14" s="9" t="s">
        <v>99</v>
      </c>
      <c r="B14" s="5" t="s">
        <v>100</v>
      </c>
      <c r="C14" s="3">
        <v>0.25403886885009902</v>
      </c>
      <c r="D14" s="3">
        <v>2.0790336252925E-2</v>
      </c>
      <c r="E14" s="10">
        <v>2.367211606129896E-3</v>
      </c>
      <c r="F14" s="2">
        <v>3.2793253474922425E-3</v>
      </c>
      <c r="G14" s="2">
        <v>6.2402040816326503</v>
      </c>
      <c r="H14" s="6">
        <v>6.44041210374637</v>
      </c>
      <c r="I14" s="2">
        <f t="shared" si="0"/>
        <v>-0.20020802211371969</v>
      </c>
      <c r="J14">
        <v>3</v>
      </c>
      <c r="K14">
        <v>2</v>
      </c>
      <c r="L14" s="5">
        <v>0.30752962486638302</v>
      </c>
      <c r="M14" s="5">
        <v>0.13917260208943399</v>
      </c>
      <c r="N14" s="6">
        <v>7.1853222903556002</v>
      </c>
      <c r="O14" s="3">
        <v>6.8470142381221599</v>
      </c>
      <c r="P14" s="3" t="s">
        <v>75</v>
      </c>
      <c r="Q14" s="3">
        <v>0.25403886885009902</v>
      </c>
      <c r="R14" s="3">
        <v>0</v>
      </c>
      <c r="S14" s="3">
        <v>0</v>
      </c>
      <c r="T14" s="3">
        <v>0</v>
      </c>
      <c r="U14">
        <v>0</v>
      </c>
      <c r="V14" s="3">
        <f>G14+U14</f>
        <v>6.2402040816326503</v>
      </c>
      <c r="W14" s="7">
        <v>4.24</v>
      </c>
      <c r="X14" s="7">
        <v>5.05</v>
      </c>
      <c r="Y14" s="7">
        <v>4.375</v>
      </c>
      <c r="Z14" s="7">
        <v>4.5999999999999996</v>
      </c>
      <c r="AA14" s="7">
        <v>3.7</v>
      </c>
      <c r="AB14" s="7">
        <v>4.375</v>
      </c>
      <c r="AC14" s="7">
        <v>5.95</v>
      </c>
      <c r="AD14" s="7">
        <v>5.5</v>
      </c>
      <c r="AE14" s="7">
        <v>0</v>
      </c>
      <c r="AF14" s="7">
        <v>5.6124999999999998</v>
      </c>
      <c r="AG14" s="7">
        <v>0</v>
      </c>
      <c r="AH14" s="7">
        <v>6.85</v>
      </c>
      <c r="AI14" s="7">
        <v>5.4249999999999998</v>
      </c>
      <c r="AJ14" s="7">
        <v>8.56</v>
      </c>
      <c r="AK14" s="7">
        <v>8.7624999999999993</v>
      </c>
      <c r="AL14" s="7">
        <v>2.8</v>
      </c>
      <c r="AM14" s="7">
        <v>7.75</v>
      </c>
      <c r="AN14" s="13">
        <v>5.9245760384136698E-3</v>
      </c>
      <c r="AO14" s="13">
        <v>2.3949086930942602E-3</v>
      </c>
      <c r="AP14" s="13">
        <v>2.5940360580387202E-3</v>
      </c>
      <c r="AQ14" s="13">
        <v>2.5139701313623402E-3</v>
      </c>
      <c r="AR14" s="13">
        <v>2.4429187855964001E-3</v>
      </c>
      <c r="AS14" s="13">
        <v>2.21686893953278E-3</v>
      </c>
      <c r="AT14" s="13">
        <v>1.9807301410681602E-3</v>
      </c>
      <c r="AU14" s="13">
        <v>2.1640033660480801E-3</v>
      </c>
      <c r="AV14" s="13">
        <v>1.9264343522311901E-3</v>
      </c>
      <c r="AW14" s="13">
        <v>1.89774962013294E-3</v>
      </c>
      <c r="AX14" s="13">
        <v>1.89003294018046E-3</v>
      </c>
      <c r="AY14" s="13">
        <v>2.0714039020916998E-3</v>
      </c>
      <c r="AZ14" s="13">
        <v>1.9838253971254799E-3</v>
      </c>
      <c r="BA14" s="13">
        <v>2.1588536322378099E-3</v>
      </c>
      <c r="BB14" s="13">
        <v>1.79781980118894E-3</v>
      </c>
      <c r="BC14" s="13">
        <v>2.1532019722999601E-3</v>
      </c>
      <c r="BD14" s="13">
        <v>2.1312635335652701E-3</v>
      </c>
      <c r="BE14" s="8">
        <v>6.2527270000000001</v>
      </c>
      <c r="BF14" s="8">
        <v>6.7459519999999999</v>
      </c>
      <c r="BG14" s="8">
        <v>5.9355659999999997</v>
      </c>
      <c r="BH14" s="8">
        <v>6.3344440000000004</v>
      </c>
      <c r="BI14" s="8">
        <v>5.6643020000000002</v>
      </c>
      <c r="BJ14" s="8">
        <v>6.3787750000000001</v>
      </c>
      <c r="BK14" s="8">
        <v>5.977474</v>
      </c>
      <c r="BL14" s="8">
        <v>6.1041879999999997</v>
      </c>
      <c r="BM14" s="8">
        <v>6.1167930000000004</v>
      </c>
      <c r="BN14" s="8">
        <v>6.3907970000000001</v>
      </c>
      <c r="BO14" s="8">
        <v>6.3157480000000001</v>
      </c>
      <c r="BP14" s="8">
        <v>6.4666230000000002</v>
      </c>
      <c r="BQ14" s="8">
        <v>6.6013729999999997</v>
      </c>
      <c r="BR14" s="8">
        <v>7.278416</v>
      </c>
      <c r="BS14" s="8">
        <v>7.0330000000000004</v>
      </c>
      <c r="BT14" s="8">
        <v>6.4413109999999998</v>
      </c>
      <c r="BU14" s="8">
        <v>6.6963369999999998</v>
      </c>
    </row>
    <row r="15" spans="1:73" x14ac:dyDescent="0.25">
      <c r="A15" s="9" t="s">
        <v>101</v>
      </c>
      <c r="B15" s="5" t="s">
        <v>102</v>
      </c>
      <c r="C15" s="3">
        <v>0.31630942465490702</v>
      </c>
      <c r="D15" s="3">
        <v>2.0957545061041201E-2</v>
      </c>
      <c r="E15" s="10">
        <v>2.3211299126076538E-3</v>
      </c>
      <c r="F15" s="2">
        <v>4.7936860992485826E-3</v>
      </c>
      <c r="G15" s="2">
        <v>6.7902857142857203</v>
      </c>
      <c r="H15" s="5">
        <v>7.2577569331157399</v>
      </c>
      <c r="I15" s="2">
        <f t="shared" si="0"/>
        <v>-0.46747121883001963</v>
      </c>
      <c r="J15">
        <v>3</v>
      </c>
      <c r="K15">
        <v>2</v>
      </c>
      <c r="L15" s="5">
        <v>5.3315944366673099E-2</v>
      </c>
      <c r="M15" s="5">
        <v>8.5610572258252096E-2</v>
      </c>
      <c r="N15" s="6">
        <v>11.6808003219907</v>
      </c>
      <c r="O15" s="3">
        <v>7.0698125479665199</v>
      </c>
      <c r="P15" s="3" t="s">
        <v>75</v>
      </c>
      <c r="Q15" s="3">
        <v>0.31630942465490702</v>
      </c>
      <c r="R15" s="3">
        <v>0</v>
      </c>
      <c r="S15" s="3">
        <v>0</v>
      </c>
      <c r="T15" s="3">
        <v>0</v>
      </c>
      <c r="U15">
        <v>0</v>
      </c>
      <c r="V15" s="3">
        <f>G15+U15</f>
        <v>6.7902857142857203</v>
      </c>
      <c r="W15" s="7">
        <v>2.8</v>
      </c>
      <c r="X15" s="7">
        <v>6.625</v>
      </c>
      <c r="Y15" s="7">
        <v>3.25</v>
      </c>
      <c r="Z15" s="7">
        <v>0</v>
      </c>
      <c r="AA15" s="7">
        <v>2.8</v>
      </c>
      <c r="AB15" s="7">
        <v>0</v>
      </c>
      <c r="AC15" s="7">
        <v>9.5500000000000007</v>
      </c>
      <c r="AD15" s="7">
        <v>8</v>
      </c>
      <c r="AE15" s="7">
        <v>0</v>
      </c>
      <c r="AF15" s="7">
        <v>0</v>
      </c>
      <c r="AG15" s="7">
        <v>0</v>
      </c>
      <c r="AH15" s="7">
        <v>7.3</v>
      </c>
      <c r="AI15" s="7">
        <v>9.5500000000000007</v>
      </c>
      <c r="AJ15" s="7">
        <v>8.02</v>
      </c>
      <c r="AK15" s="7">
        <v>7.3</v>
      </c>
      <c r="AL15" s="7">
        <v>5.6124999999999998</v>
      </c>
      <c r="AM15" s="7">
        <v>8.65</v>
      </c>
      <c r="AN15" s="13">
        <v>5.8092443559631304E-3</v>
      </c>
      <c r="AO15" s="13">
        <v>2.3482878299136501E-3</v>
      </c>
      <c r="AP15" s="13">
        <v>2.5435388509860699E-3</v>
      </c>
      <c r="AQ15" s="13">
        <v>2.46503154014492E-3</v>
      </c>
      <c r="AR15" s="13">
        <v>2.39536332647054E-3</v>
      </c>
      <c r="AS15" s="13">
        <v>2.17371391495196E-3</v>
      </c>
      <c r="AT15" s="13">
        <v>1.9421719491960799E-3</v>
      </c>
      <c r="AU15" s="13">
        <v>2.1218774573895198E-3</v>
      </c>
      <c r="AV15" s="13">
        <v>1.8889331177913301E-3</v>
      </c>
      <c r="AW15" s="13">
        <v>1.8608067814993099E-3</v>
      </c>
      <c r="AX15" s="13">
        <v>1.85324031949931E-3</v>
      </c>
      <c r="AY15" s="13">
        <v>2.0310805953244501E-3</v>
      </c>
      <c r="AZ15" s="13">
        <v>1.9452069509691501E-3</v>
      </c>
      <c r="BA15" s="13">
        <v>2.1168279716747402E-3</v>
      </c>
      <c r="BB15" s="13">
        <v>1.762822261944E-3</v>
      </c>
      <c r="BC15" s="13">
        <v>2.1112863306555602E-3</v>
      </c>
      <c r="BD15" s="13">
        <v>2.0897749599563201E-3</v>
      </c>
      <c r="BE15" s="8">
        <v>7.456029</v>
      </c>
      <c r="BF15" s="8">
        <v>7.583933</v>
      </c>
      <c r="BG15" s="8">
        <v>7.667376</v>
      </c>
      <c r="BH15" s="8">
        <v>7.8628359999999997</v>
      </c>
      <c r="BI15" s="8">
        <v>7.2306980000000003</v>
      </c>
      <c r="BJ15" s="8">
        <v>7.2229609999999997</v>
      </c>
      <c r="BK15" s="8">
        <v>7.0047079999999999</v>
      </c>
      <c r="BL15" s="8">
        <v>7.085877</v>
      </c>
      <c r="BM15" s="8">
        <v>6.8532640000000002</v>
      </c>
      <c r="BN15" s="8">
        <v>6.7524100000000002</v>
      </c>
      <c r="BO15" s="8">
        <v>7.208507</v>
      </c>
      <c r="BP15" s="8">
        <v>7.2172609999999997</v>
      </c>
      <c r="BQ15" s="8">
        <v>7.464709</v>
      </c>
      <c r="BR15" s="8">
        <v>7.7880950000000002</v>
      </c>
      <c r="BS15" s="8">
        <v>7.29</v>
      </c>
      <c r="BT15" s="8">
        <v>7.1728769999999997</v>
      </c>
      <c r="BU15" s="8">
        <v>7.30931</v>
      </c>
    </row>
    <row r="16" spans="1:73" x14ac:dyDescent="0.25">
      <c r="A16" s="9" t="s">
        <v>103</v>
      </c>
      <c r="B16" s="5" t="s">
        <v>104</v>
      </c>
      <c r="C16" s="3">
        <v>0.232355114482899</v>
      </c>
      <c r="D16" s="3">
        <v>1.5371026362148E-2</v>
      </c>
      <c r="E16" s="10">
        <v>1.478217878319178E-3</v>
      </c>
      <c r="F16" s="2">
        <v>5.7350043829007746E-3</v>
      </c>
      <c r="G16" s="2">
        <v>7.7134615384615399</v>
      </c>
      <c r="H16" s="5">
        <v>7.3731113387976404</v>
      </c>
      <c r="I16" s="2">
        <f t="shared" si="0"/>
        <v>0.34035019966389957</v>
      </c>
      <c r="J16">
        <v>6</v>
      </c>
      <c r="K16">
        <v>4</v>
      </c>
      <c r="L16" s="5">
        <v>0.10702111964531</v>
      </c>
      <c r="M16" s="5">
        <v>5.9158804574979303E-2</v>
      </c>
      <c r="N16" s="6">
        <v>16.903654615477802</v>
      </c>
      <c r="O16" s="3">
        <v>6.46779507331137</v>
      </c>
      <c r="P16" s="3" t="s">
        <v>105</v>
      </c>
      <c r="Q16" s="3">
        <v>30.290602336736601</v>
      </c>
      <c r="R16" s="3">
        <v>7.7960941043449302E-3</v>
      </c>
      <c r="S16" s="3">
        <v>0</v>
      </c>
      <c r="T16" s="3">
        <v>9.3829532582266808E-3</v>
      </c>
      <c r="U16">
        <v>0</v>
      </c>
      <c r="V16" s="3">
        <f>G16+U16</f>
        <v>7.7134615384615399</v>
      </c>
      <c r="W16" s="7">
        <v>0</v>
      </c>
      <c r="X16" s="7">
        <v>2.8</v>
      </c>
      <c r="Y16" s="7">
        <v>6.58</v>
      </c>
      <c r="Z16" s="7">
        <v>0</v>
      </c>
      <c r="AA16" s="7">
        <v>0</v>
      </c>
      <c r="AB16" s="7">
        <v>0</v>
      </c>
      <c r="AC16" s="7">
        <v>7.6085710000000004</v>
      </c>
      <c r="AD16" s="7">
        <v>7.0750000000000002</v>
      </c>
      <c r="AE16" s="7">
        <v>5.3875000000000002</v>
      </c>
      <c r="AF16" s="7">
        <v>9.5500000000000007</v>
      </c>
      <c r="AG16" s="7">
        <v>8.5374999999999996</v>
      </c>
      <c r="AH16" s="7">
        <v>2.8</v>
      </c>
      <c r="AI16" s="7">
        <v>9.5500000000000007</v>
      </c>
      <c r="AJ16" s="7">
        <v>8.0542859999999994</v>
      </c>
      <c r="AK16" s="7">
        <v>9.4</v>
      </c>
      <c r="AL16" s="7">
        <v>9.5500000000000007</v>
      </c>
      <c r="AM16" s="7">
        <v>9.1449999999999996</v>
      </c>
      <c r="AN16" s="13">
        <v>3.69963301918854E-3</v>
      </c>
      <c r="AO16" s="13">
        <v>1.49551347159105E-3</v>
      </c>
      <c r="AP16" s="13">
        <v>1.61985961376155E-3</v>
      </c>
      <c r="AQ16" s="13">
        <v>1.5698620199888901E-3</v>
      </c>
      <c r="AR16" s="13">
        <v>1.5254936292130601E-3</v>
      </c>
      <c r="AS16" s="13">
        <v>1.3843356005107401E-3</v>
      </c>
      <c r="AT16" s="13">
        <v>1.23687747181988E-3</v>
      </c>
      <c r="AU16" s="13">
        <v>1.3513234119635401E-3</v>
      </c>
      <c r="AV16" s="13">
        <v>1.2029721776888401E-3</v>
      </c>
      <c r="AW16" s="13">
        <v>1.1850598441599601E-3</v>
      </c>
      <c r="AX16" s="13">
        <v>1.1802411223196801E-3</v>
      </c>
      <c r="AY16" s="13">
        <v>1.29349918417223E-3</v>
      </c>
      <c r="AZ16" s="13">
        <v>1.23881032092811E-3</v>
      </c>
      <c r="BA16" s="13">
        <v>1.3481076332950001E-3</v>
      </c>
      <c r="BB16" s="13">
        <v>1.1226581372074801E-3</v>
      </c>
      <c r="BC16" s="13">
        <v>1.3445784241864101E-3</v>
      </c>
      <c r="BD16" s="13">
        <v>1.3308788494310101E-3</v>
      </c>
      <c r="BE16" s="8">
        <v>7.2374999999999998</v>
      </c>
      <c r="BF16" s="8">
        <v>6.8426729999999996</v>
      </c>
      <c r="BG16" s="8">
        <v>7.4708269999999999</v>
      </c>
      <c r="BH16" s="8">
        <v>7.2078259999999998</v>
      </c>
      <c r="BI16" s="8">
        <v>7.4502379999999997</v>
      </c>
      <c r="BJ16" s="8">
        <v>7.4127010000000002</v>
      </c>
      <c r="BK16" s="8">
        <v>7.3741450000000004</v>
      </c>
      <c r="BL16" s="8">
        <v>7.2411089999999998</v>
      </c>
      <c r="BM16" s="8">
        <v>7.0062280000000001</v>
      </c>
      <c r="BN16" s="8">
        <v>7.2277800000000001</v>
      </c>
      <c r="BO16" s="8">
        <v>7.3139979999999998</v>
      </c>
      <c r="BP16" s="8">
        <v>7.4116059999999999</v>
      </c>
      <c r="BQ16" s="8">
        <v>7.4991029999999999</v>
      </c>
      <c r="BR16" s="8">
        <v>7.7252169999999998</v>
      </c>
      <c r="BS16" s="8">
        <v>7.829091</v>
      </c>
      <c r="BT16" s="8">
        <v>7.275156</v>
      </c>
      <c r="BU16" s="8">
        <v>7.7226150000000002</v>
      </c>
    </row>
    <row r="17" spans="1:73" x14ac:dyDescent="0.25">
      <c r="A17" s="9" t="s">
        <v>106</v>
      </c>
      <c r="B17" s="5" t="s">
        <v>107</v>
      </c>
      <c r="C17" s="3">
        <v>0.32839042377465999</v>
      </c>
      <c r="D17" s="3">
        <v>1.2697273237508799E-2</v>
      </c>
      <c r="E17" s="10">
        <v>2.0891840344157381E-3</v>
      </c>
      <c r="F17" s="2">
        <v>1.1200738572706261E-2</v>
      </c>
      <c r="G17" s="2">
        <v>5.9517187500000004</v>
      </c>
      <c r="H17" s="5">
        <v>5.7669567395264396</v>
      </c>
      <c r="I17" s="2">
        <f t="shared" si="0"/>
        <v>0.18476201047356078</v>
      </c>
      <c r="J17">
        <v>5</v>
      </c>
      <c r="K17">
        <v>3</v>
      </c>
      <c r="L17" s="5">
        <v>7.8975129242251002E-2</v>
      </c>
      <c r="M17" s="5">
        <v>5.0337650916386499E-2</v>
      </c>
      <c r="N17" s="6">
        <v>19.865845580697702</v>
      </c>
      <c r="O17" s="3">
        <v>6.8355263505712403</v>
      </c>
      <c r="P17" s="3" t="s">
        <v>75</v>
      </c>
      <c r="Q17" s="3">
        <v>0.32839042377465999</v>
      </c>
      <c r="R17" s="3">
        <v>0</v>
      </c>
      <c r="S17" s="3">
        <v>0</v>
      </c>
      <c r="T17" s="3">
        <v>0</v>
      </c>
      <c r="U17">
        <v>0</v>
      </c>
      <c r="V17" s="3">
        <f>G17+U17</f>
        <v>5.9517187500000004</v>
      </c>
      <c r="W17" s="7">
        <v>6.22</v>
      </c>
      <c r="X17" s="7">
        <v>5.86</v>
      </c>
      <c r="Y17" s="7">
        <v>5.6619999999999999</v>
      </c>
      <c r="Z17" s="7">
        <v>5.5</v>
      </c>
      <c r="AA17" s="7">
        <v>6.5620000000000003</v>
      </c>
      <c r="AB17" s="7">
        <v>4.8357140000000003</v>
      </c>
      <c r="AC17" s="7">
        <v>6.0108819999999996</v>
      </c>
      <c r="AD17" s="7">
        <v>6.2859999999999996</v>
      </c>
      <c r="AE17" s="7">
        <v>5.9382140000000003</v>
      </c>
      <c r="AF17" s="7">
        <v>6.4187500000000002</v>
      </c>
      <c r="AG17" s="7">
        <v>5.68</v>
      </c>
      <c r="AH17" s="7">
        <v>6.3771430000000002</v>
      </c>
      <c r="AI17" s="7">
        <v>6.0812499999999998</v>
      </c>
      <c r="AJ17" s="7">
        <v>6.5896429999999997</v>
      </c>
      <c r="AK17" s="7">
        <v>5.77</v>
      </c>
      <c r="AL17" s="7">
        <v>4.4612499999999997</v>
      </c>
      <c r="AM17" s="7">
        <v>5.8085709999999997</v>
      </c>
      <c r="AN17" s="13">
        <v>5.2287381652253899E-3</v>
      </c>
      <c r="AO17" s="13">
        <v>2.1136281152642502E-3</v>
      </c>
      <c r="AP17" s="13">
        <v>2.28936809160603E-3</v>
      </c>
      <c r="AQ17" s="13">
        <v>2.21870585960283E-3</v>
      </c>
      <c r="AR17" s="13">
        <v>2.1559994514331699E-3</v>
      </c>
      <c r="AS17" s="13">
        <v>1.9564990230999599E-3</v>
      </c>
      <c r="AT17" s="13">
        <v>1.7480945837245799E-3</v>
      </c>
      <c r="AU17" s="13">
        <v>1.9098424792538299E-3</v>
      </c>
      <c r="AV17" s="13">
        <v>1.70017580245447E-3</v>
      </c>
      <c r="AW17" s="13">
        <v>1.6748600747958299E-3</v>
      </c>
      <c r="AX17" s="13">
        <v>1.6680497142375799E-3</v>
      </c>
      <c r="AY17" s="13">
        <v>1.8281187663452901E-3</v>
      </c>
      <c r="AZ17" s="13">
        <v>1.7508263038296301E-3</v>
      </c>
      <c r="BA17" s="13">
        <v>1.90529757856559E-3</v>
      </c>
      <c r="BB17" s="13">
        <v>1.5866669526603801E-3</v>
      </c>
      <c r="BC17" s="13">
        <v>1.90030970266995E-3</v>
      </c>
      <c r="BD17" s="13">
        <v>1.88094792029873E-3</v>
      </c>
      <c r="BE17" s="8">
        <v>5.567107</v>
      </c>
      <c r="BF17" s="8">
        <v>5.8722479999999999</v>
      </c>
      <c r="BG17" s="8">
        <v>5.795147</v>
      </c>
      <c r="BH17" s="8">
        <v>5.9040569999999999</v>
      </c>
      <c r="BI17" s="8">
        <v>5.8531899999999997</v>
      </c>
      <c r="BJ17" s="8">
        <v>5.5742560000000001</v>
      </c>
      <c r="BK17" s="8">
        <v>5.8024620000000002</v>
      </c>
      <c r="BL17" s="8">
        <v>5.7197849999999999</v>
      </c>
      <c r="BM17" s="8">
        <v>5.5872339999999996</v>
      </c>
      <c r="BN17" s="8">
        <v>5.6476569999999997</v>
      </c>
      <c r="BO17" s="8">
        <v>5.6552129999999998</v>
      </c>
      <c r="BP17" s="8">
        <v>5.85555</v>
      </c>
      <c r="BQ17" s="8">
        <v>5.6995300000000002</v>
      </c>
      <c r="BR17" s="8">
        <v>5.7310280000000002</v>
      </c>
      <c r="BS17" s="8">
        <v>5.9931939999999999</v>
      </c>
      <c r="BT17" s="8">
        <v>5.838908</v>
      </c>
      <c r="BU17" s="8">
        <v>6.0563950000000002</v>
      </c>
    </row>
    <row r="18" spans="1:73" x14ac:dyDescent="0.25">
      <c r="A18" s="9" t="s">
        <v>108</v>
      </c>
      <c r="B18" s="5" t="s">
        <v>109</v>
      </c>
      <c r="C18" s="3">
        <v>0.26626663844360898</v>
      </c>
      <c r="D18" s="3">
        <v>2.8049033940277999E-2</v>
      </c>
      <c r="E18" s="10">
        <v>1.693959292539092E-3</v>
      </c>
      <c r="F18" s="2">
        <v>2.1326255268335776E-3</v>
      </c>
      <c r="G18" s="2">
        <v>6.24117647058823</v>
      </c>
      <c r="H18" s="5">
        <v>6.4794057377049397</v>
      </c>
      <c r="I18" s="2">
        <f t="shared" si="0"/>
        <v>-0.23822926711670966</v>
      </c>
      <c r="J18">
        <v>7</v>
      </c>
      <c r="K18">
        <v>4</v>
      </c>
      <c r="L18" s="5">
        <v>0.209203121252829</v>
      </c>
      <c r="M18" s="5">
        <v>8.8590399649461304E-2</v>
      </c>
      <c r="N18" s="6">
        <v>11.287904828930101</v>
      </c>
      <c r="O18" s="3">
        <v>5.95</v>
      </c>
      <c r="P18" s="3" t="s">
        <v>75</v>
      </c>
      <c r="Q18" s="3">
        <v>0.26626663844360898</v>
      </c>
      <c r="R18" s="3">
        <v>0</v>
      </c>
      <c r="S18" s="3">
        <v>0</v>
      </c>
      <c r="T18" s="3">
        <v>0</v>
      </c>
      <c r="U18">
        <v>0</v>
      </c>
      <c r="V18" s="3">
        <f>G18+U18</f>
        <v>6.24117647058823</v>
      </c>
      <c r="W18" s="7">
        <v>7.75</v>
      </c>
      <c r="X18" s="7">
        <v>0</v>
      </c>
      <c r="Y18" s="7">
        <v>6.625</v>
      </c>
      <c r="Z18" s="7">
        <v>0</v>
      </c>
      <c r="AA18" s="7">
        <v>0</v>
      </c>
      <c r="AB18" s="7">
        <v>2.8</v>
      </c>
      <c r="AC18" s="7">
        <v>5.5</v>
      </c>
      <c r="AD18" s="7">
        <v>0</v>
      </c>
      <c r="AE18" s="7">
        <v>2.8</v>
      </c>
      <c r="AF18" s="7">
        <v>5.5</v>
      </c>
      <c r="AG18" s="7">
        <v>8.65</v>
      </c>
      <c r="AH18" s="7">
        <v>2.8</v>
      </c>
      <c r="AI18" s="7">
        <v>5.5</v>
      </c>
      <c r="AJ18" s="7">
        <v>9.5500000000000007</v>
      </c>
      <c r="AK18" s="7">
        <v>0</v>
      </c>
      <c r="AL18" s="7">
        <v>5.05</v>
      </c>
      <c r="AM18" s="7">
        <v>9.5500000000000007</v>
      </c>
      <c r="AN18" s="13">
        <v>4.2395832331326303E-3</v>
      </c>
      <c r="AO18" s="13">
        <v>1.7137791251717301E-3</v>
      </c>
      <c r="AP18" s="13">
        <v>1.85627320950835E-3</v>
      </c>
      <c r="AQ18" s="13">
        <v>1.7989786186242899E-3</v>
      </c>
      <c r="AR18" s="13">
        <v>1.74813479583467E-3</v>
      </c>
      <c r="AS18" s="13">
        <v>1.5863751811365399E-3</v>
      </c>
      <c r="AT18" s="13">
        <v>1.4173959859719301E-3</v>
      </c>
      <c r="AU18" s="13">
        <v>1.5485449638345001E-3</v>
      </c>
      <c r="AV18" s="13">
        <v>1.3785423170358899E-3</v>
      </c>
      <c r="AW18" s="13">
        <v>1.35801573277701E-3</v>
      </c>
      <c r="AX18" s="13">
        <v>1.3524937331048099E-3</v>
      </c>
      <c r="AY18" s="13">
        <v>1.4822814654438701E-3</v>
      </c>
      <c r="AZ18" s="13">
        <v>1.4196109285429699E-3</v>
      </c>
      <c r="BA18" s="13">
        <v>1.5448598520263999E-3</v>
      </c>
      <c r="BB18" s="13">
        <v>1.2865066860303601E-3</v>
      </c>
      <c r="BC18" s="13">
        <v>1.5408155655565301E-3</v>
      </c>
      <c r="BD18" s="13">
        <v>1.5251165794320099E-3</v>
      </c>
      <c r="BE18" s="8">
        <v>6.4264710000000003</v>
      </c>
      <c r="BF18" s="8">
        <v>7.1554549999999999</v>
      </c>
      <c r="BG18" s="8">
        <v>6.5247729999999997</v>
      </c>
      <c r="BH18" s="8">
        <v>6.3375000000000004</v>
      </c>
      <c r="BI18" s="8">
        <v>7.0179999999999998</v>
      </c>
      <c r="BJ18" s="8">
        <v>6.09</v>
      </c>
      <c r="BK18" s="8">
        <v>5.9162499999999998</v>
      </c>
      <c r="BL18" s="8">
        <v>6.4740770000000003</v>
      </c>
      <c r="BM18" s="8">
        <v>6.4617649999999998</v>
      </c>
      <c r="BN18" s="8">
        <v>6.7493220000000003</v>
      </c>
      <c r="BO18" s="8">
        <v>6.2414620000000003</v>
      </c>
      <c r="BP18" s="8">
        <v>6.7179219999999997</v>
      </c>
      <c r="BQ18" s="8">
        <v>6.3912899999999997</v>
      </c>
      <c r="BR18" s="8">
        <v>6.9625000000000004</v>
      </c>
      <c r="BS18" s="8">
        <v>6.0737500000000004</v>
      </c>
      <c r="BT18" s="8">
        <v>6.5823080000000003</v>
      </c>
      <c r="BU18" s="8">
        <v>6.3691180000000003</v>
      </c>
    </row>
    <row r="19" spans="1:73" x14ac:dyDescent="0.25">
      <c r="A19" s="9" t="s">
        <v>110</v>
      </c>
      <c r="B19" s="5" t="s">
        <v>111</v>
      </c>
      <c r="C19" s="3">
        <v>0.34730101245488598</v>
      </c>
      <c r="D19" s="3">
        <v>1.65575872279006E-2</v>
      </c>
      <c r="E19" s="10">
        <v>2.2094911356338948E-3</v>
      </c>
      <c r="F19" s="2">
        <v>4.3019036871591457E-3</v>
      </c>
      <c r="G19" s="2">
        <v>6.5191666666666697</v>
      </c>
      <c r="H19" s="5">
        <v>6.3905599903240997</v>
      </c>
      <c r="I19" s="2">
        <f t="shared" si="0"/>
        <v>0.12860667634256995</v>
      </c>
      <c r="J19">
        <v>6</v>
      </c>
      <c r="K19">
        <v>4</v>
      </c>
      <c r="L19" s="5">
        <v>8.5318035286736496E-2</v>
      </c>
      <c r="M19" s="5">
        <v>5.65794137995504E-2</v>
      </c>
      <c r="N19" s="6">
        <v>17.6742728997299</v>
      </c>
      <c r="O19" s="3">
        <v>6.7745225632295298</v>
      </c>
      <c r="P19" s="3" t="s">
        <v>75</v>
      </c>
      <c r="Q19" s="3">
        <v>0.34730101245488598</v>
      </c>
      <c r="R19" s="3">
        <v>0</v>
      </c>
      <c r="S19" s="3">
        <v>0</v>
      </c>
      <c r="T19" s="3">
        <v>0</v>
      </c>
      <c r="U19">
        <v>0</v>
      </c>
      <c r="V19" s="3">
        <f>G19+U19</f>
        <v>6.5191666666666697</v>
      </c>
      <c r="W19" s="7">
        <v>5.7249999999999996</v>
      </c>
      <c r="X19" s="7">
        <v>5.0925000000000002</v>
      </c>
      <c r="Y19" s="7">
        <v>6.7374999999999998</v>
      </c>
      <c r="Z19" s="7">
        <v>8.0649999999999995</v>
      </c>
      <c r="AA19" s="7">
        <v>5.05</v>
      </c>
      <c r="AB19" s="7">
        <v>9.1</v>
      </c>
      <c r="AC19" s="7">
        <v>5.7249999999999996</v>
      </c>
      <c r="AD19" s="7">
        <v>5.2750000000000004</v>
      </c>
      <c r="AE19" s="7">
        <v>7.09</v>
      </c>
      <c r="AF19" s="7">
        <v>3.6549999999999998</v>
      </c>
      <c r="AG19" s="7">
        <v>5.86</v>
      </c>
      <c r="AH19" s="7">
        <v>5.58</v>
      </c>
      <c r="AI19" s="7">
        <v>6.04</v>
      </c>
      <c r="AJ19" s="7">
        <v>7.585</v>
      </c>
      <c r="AK19" s="7">
        <v>7.5250000000000004</v>
      </c>
      <c r="AL19" s="7">
        <v>8.5374999999999996</v>
      </c>
      <c r="AM19" s="7">
        <v>7.6937499999999996</v>
      </c>
      <c r="AN19" s="13">
        <v>5.5298386529394504E-3</v>
      </c>
      <c r="AO19" s="13">
        <v>2.2353428457100701E-3</v>
      </c>
      <c r="AP19" s="13">
        <v>2.4212029296027098E-3</v>
      </c>
      <c r="AQ19" s="13">
        <v>2.3464715643121302E-3</v>
      </c>
      <c r="AR19" s="13">
        <v>2.2801541644488599E-3</v>
      </c>
      <c r="AS19" s="13">
        <v>2.0691653665756001E-3</v>
      </c>
      <c r="AT19" s="13">
        <v>1.8487598140530699E-3</v>
      </c>
      <c r="AU19" s="13">
        <v>2.0198220735247502E-3</v>
      </c>
      <c r="AV19" s="13">
        <v>1.7980815967670099E-3</v>
      </c>
      <c r="AW19" s="13">
        <v>1.77130804549893E-3</v>
      </c>
      <c r="AX19" s="13">
        <v>1.7641055056383699E-3</v>
      </c>
      <c r="AY19" s="13">
        <v>1.9333922443340399E-3</v>
      </c>
      <c r="AZ19" s="13">
        <v>1.85164884214141E-3</v>
      </c>
      <c r="BA19" s="13">
        <v>2.01501545160079E-3</v>
      </c>
      <c r="BB19" s="13">
        <v>1.67803626169619E-3</v>
      </c>
      <c r="BC19" s="13">
        <v>2.0097403454370898E-3</v>
      </c>
      <c r="BD19" s="13">
        <v>1.98926360149564E-3</v>
      </c>
      <c r="BE19" s="8">
        <v>6.2013040000000004</v>
      </c>
      <c r="BF19" s="8">
        <v>6.7660130000000001</v>
      </c>
      <c r="BG19" s="8">
        <v>6.2317020000000003</v>
      </c>
      <c r="BH19" s="8">
        <v>6.7074999999999996</v>
      </c>
      <c r="BI19" s="8">
        <v>5.9682279999999999</v>
      </c>
      <c r="BJ19" s="8">
        <v>6.2742649999999998</v>
      </c>
      <c r="BK19" s="8">
        <v>6.3130940000000004</v>
      </c>
      <c r="BL19" s="8">
        <v>6.3664849999999999</v>
      </c>
      <c r="BM19" s="8">
        <v>6.4117519999999999</v>
      </c>
      <c r="BN19" s="8">
        <v>6.2185750000000004</v>
      </c>
      <c r="BO19" s="8">
        <v>6.4778479999999998</v>
      </c>
      <c r="BP19" s="8">
        <v>6.1949750000000003</v>
      </c>
      <c r="BQ19" s="8">
        <v>6.3927569999999996</v>
      </c>
      <c r="BR19" s="8">
        <v>6.8880410000000003</v>
      </c>
      <c r="BS19" s="8">
        <v>6.4040299999999997</v>
      </c>
      <c r="BT19" s="8">
        <v>6.5779889999999996</v>
      </c>
      <c r="BU19" s="8">
        <v>6.31</v>
      </c>
    </row>
    <row r="20" spans="1:73" x14ac:dyDescent="0.25">
      <c r="A20" s="9" t="s">
        <v>306</v>
      </c>
      <c r="B20" s="5" t="s">
        <v>112</v>
      </c>
      <c r="C20" s="3">
        <v>0.31792580060654801</v>
      </c>
      <c r="D20" s="3">
        <v>3.6338626539168799E-2</v>
      </c>
      <c r="E20" s="10">
        <v>2.0226092439644839E-3</v>
      </c>
      <c r="F20" s="2">
        <v>1.6044427679303124E-3</v>
      </c>
      <c r="G20" s="2">
        <v>6.2579629629629698</v>
      </c>
      <c r="H20" s="5">
        <v>5.8913640000000198</v>
      </c>
      <c r="I20" s="2">
        <f t="shared" si="0"/>
        <v>0.36659896296295003</v>
      </c>
      <c r="J20">
        <v>6</v>
      </c>
      <c r="K20">
        <v>4</v>
      </c>
      <c r="L20" s="5">
        <v>0.17472105156678999</v>
      </c>
      <c r="M20" s="5">
        <v>0.164594930092504</v>
      </c>
      <c r="N20" s="6">
        <v>6.07552127783031</v>
      </c>
      <c r="O20" s="3">
        <v>6.7664145275993199</v>
      </c>
      <c r="P20" s="3" t="s">
        <v>78</v>
      </c>
      <c r="Q20" s="3">
        <v>26.822098062401299</v>
      </c>
      <c r="R20" s="3">
        <v>1.21967482140212E-2</v>
      </c>
      <c r="S20" s="3">
        <v>0</v>
      </c>
      <c r="T20" s="3">
        <v>1.8539403545970098E-2</v>
      </c>
      <c r="U20">
        <v>0</v>
      </c>
      <c r="V20" s="3">
        <f>G20+U20</f>
        <v>6.2579629629629698</v>
      </c>
      <c r="W20" s="7">
        <v>9.5500000000000007</v>
      </c>
      <c r="X20" s="7">
        <v>6.1749999999999998</v>
      </c>
      <c r="Y20" s="7">
        <v>7.3</v>
      </c>
      <c r="Z20" s="7">
        <v>9.5500000000000007</v>
      </c>
      <c r="AA20" s="7">
        <v>6.25</v>
      </c>
      <c r="AB20" s="7">
        <v>3.7</v>
      </c>
      <c r="AC20" s="7">
        <v>6.1566669999999997</v>
      </c>
      <c r="AD20" s="7">
        <v>0</v>
      </c>
      <c r="AE20" s="7">
        <v>6.58</v>
      </c>
      <c r="AF20" s="7">
        <v>7.5250000000000004</v>
      </c>
      <c r="AG20" s="7">
        <v>2.8</v>
      </c>
      <c r="AH20" s="7">
        <v>5.5</v>
      </c>
      <c r="AI20" s="7">
        <v>7.3</v>
      </c>
      <c r="AJ20" s="7">
        <v>0</v>
      </c>
      <c r="AK20" s="7">
        <v>3.25</v>
      </c>
      <c r="AL20" s="7">
        <v>3.61</v>
      </c>
      <c r="AM20" s="7">
        <v>0</v>
      </c>
      <c r="AN20" s="13">
        <v>5.0621170624694997E-3</v>
      </c>
      <c r="AO20" s="13">
        <v>2.0462743797638899E-3</v>
      </c>
      <c r="AP20" s="13">
        <v>2.2164141543493301E-3</v>
      </c>
      <c r="AQ20" s="13">
        <v>2.1480036738486001E-3</v>
      </c>
      <c r="AR20" s="13">
        <v>2.0872954936545902E-3</v>
      </c>
      <c r="AS20" s="13">
        <v>1.89415242733087E-3</v>
      </c>
      <c r="AT20" s="13">
        <v>1.69238908881207E-3</v>
      </c>
      <c r="AU20" s="13">
        <v>1.8489826599384E-3</v>
      </c>
      <c r="AV20" s="13">
        <v>1.6459973069681401E-3</v>
      </c>
      <c r="AW20" s="13">
        <v>1.62148830061133E-3</v>
      </c>
      <c r="AX20" s="13">
        <v>1.61489496178002E-3</v>
      </c>
      <c r="AY20" s="13">
        <v>1.76986318819395E-3</v>
      </c>
      <c r="AZ20" s="13">
        <v>1.6950337588102101E-3</v>
      </c>
      <c r="BA20" s="13">
        <v>1.8445825889089899E-3</v>
      </c>
      <c r="BB20" s="13">
        <v>1.5361055764727401E-3</v>
      </c>
      <c r="BC20" s="13">
        <v>1.8397536587008E-3</v>
      </c>
      <c r="BD20" s="13">
        <v>1.8210088667827301E-3</v>
      </c>
      <c r="BE20" s="8">
        <v>6.5821430000000003</v>
      </c>
      <c r="BF20" s="8">
        <v>6.6073810000000002</v>
      </c>
      <c r="BG20" s="8">
        <v>6.5187790000000003</v>
      </c>
      <c r="BH20" s="8">
        <v>5.3049999999999997</v>
      </c>
      <c r="BI20" s="8">
        <v>6.1417390000000003</v>
      </c>
      <c r="BJ20" s="8">
        <v>5.2221739999999999</v>
      </c>
      <c r="BK20" s="8">
        <v>5.7952110000000001</v>
      </c>
      <c r="BL20" s="8">
        <v>6.0245189999999997</v>
      </c>
      <c r="BM20" s="8">
        <v>5.6637069999999996</v>
      </c>
      <c r="BN20" s="8">
        <v>5.999091</v>
      </c>
      <c r="BO20" s="8">
        <v>5.5022120000000001</v>
      </c>
      <c r="BP20" s="8">
        <v>6.9210200000000004</v>
      </c>
      <c r="BQ20" s="8">
        <v>5.0949999999999998</v>
      </c>
      <c r="BR20" s="8">
        <v>6.0176189999999998</v>
      </c>
      <c r="BS20" s="8">
        <v>5.32</v>
      </c>
      <c r="BT20" s="8">
        <v>6.1187500000000004</v>
      </c>
      <c r="BU20" s="8">
        <v>5.2995450000000002</v>
      </c>
    </row>
    <row r="21" spans="1:73" x14ac:dyDescent="0.25">
      <c r="A21" s="9" t="s">
        <v>113</v>
      </c>
      <c r="B21" s="5" t="s">
        <v>114</v>
      </c>
      <c r="C21" s="3">
        <v>0.35128030818963002</v>
      </c>
      <c r="D21" s="3">
        <v>3.44785539372926E-2</v>
      </c>
      <c r="E21" s="10">
        <v>2.2348069807845762E-3</v>
      </c>
      <c r="F21" s="2">
        <v>1.820404108819643E-3</v>
      </c>
      <c r="G21" s="2">
        <v>6.3949999999999996</v>
      </c>
      <c r="H21" s="5">
        <v>5.7424732006125598</v>
      </c>
      <c r="I21" s="2">
        <f t="shared" si="0"/>
        <v>0.65252679938743974</v>
      </c>
      <c r="J21">
        <v>6</v>
      </c>
      <c r="K21">
        <v>4</v>
      </c>
      <c r="L21" s="5">
        <v>0.17831104376477699</v>
      </c>
      <c r="M21" s="5">
        <v>0.12925286910609399</v>
      </c>
      <c r="N21" s="6">
        <v>7.7367721654145596</v>
      </c>
      <c r="O21" s="3">
        <v>6.6256532937179102</v>
      </c>
      <c r="P21" s="3" t="s">
        <v>75</v>
      </c>
      <c r="Q21" s="3">
        <v>0.35128030818963002</v>
      </c>
      <c r="R21" s="3">
        <v>0</v>
      </c>
      <c r="S21" s="3">
        <v>0</v>
      </c>
      <c r="T21" s="3">
        <v>0</v>
      </c>
      <c r="U21">
        <v>0</v>
      </c>
      <c r="V21" s="3">
        <f>G21+U21</f>
        <v>6.3949999999999996</v>
      </c>
      <c r="W21" s="7">
        <v>0</v>
      </c>
      <c r="X21" s="7">
        <v>0</v>
      </c>
      <c r="Y21" s="7">
        <v>7.84</v>
      </c>
      <c r="Z21" s="7">
        <v>0</v>
      </c>
      <c r="AA21" s="7">
        <v>5.5</v>
      </c>
      <c r="AB21" s="7">
        <v>0</v>
      </c>
      <c r="AC21" s="7">
        <v>2.8</v>
      </c>
      <c r="AD21" s="7">
        <v>0</v>
      </c>
      <c r="AE21" s="7">
        <v>3.61</v>
      </c>
      <c r="AF21" s="7">
        <v>0</v>
      </c>
      <c r="AG21" s="7">
        <v>5.35</v>
      </c>
      <c r="AH21" s="7">
        <v>5.65</v>
      </c>
      <c r="AI21" s="7">
        <v>9.5500000000000007</v>
      </c>
      <c r="AJ21" s="7">
        <v>9.91</v>
      </c>
      <c r="AK21" s="7">
        <v>5.92</v>
      </c>
      <c r="AL21" s="7">
        <v>9.5500000000000007</v>
      </c>
      <c r="AM21" s="7">
        <v>0</v>
      </c>
      <c r="AN21" s="13">
        <v>5.59319828212661E-3</v>
      </c>
      <c r="AO21" s="13">
        <v>2.2609548938545602E-3</v>
      </c>
      <c r="AP21" s="13">
        <v>2.4489445201688201E-3</v>
      </c>
      <c r="AQ21" s="13">
        <v>2.3733568999509901E-3</v>
      </c>
      <c r="AR21" s="13">
        <v>2.3062796504559899E-3</v>
      </c>
      <c r="AS21" s="13">
        <v>2.0928733910915501E-3</v>
      </c>
      <c r="AT21" s="13">
        <v>1.8699424820523001E-3</v>
      </c>
      <c r="AU21" s="13">
        <v>2.0429647338507501E-3</v>
      </c>
      <c r="AV21" s="13">
        <v>1.81868360531908E-3</v>
      </c>
      <c r="AW21" s="13">
        <v>1.7916032888112101E-3</v>
      </c>
      <c r="AX21" s="13">
        <v>1.78431822389279E-3</v>
      </c>
      <c r="AY21" s="13">
        <v>1.9555446114034101E-3</v>
      </c>
      <c r="AZ21" s="13">
        <v>1.8728646119651E-3</v>
      </c>
      <c r="BA21" s="13">
        <v>2.0381030387498201E-3</v>
      </c>
      <c r="BB21" s="13">
        <v>1.69726281819746E-3</v>
      </c>
      <c r="BC21" s="13">
        <v>2.0327674916236602E-3</v>
      </c>
      <c r="BD21" s="13">
        <v>2.0120561298236201E-3</v>
      </c>
      <c r="BE21" s="8">
        <v>5.6950000000000003</v>
      </c>
      <c r="BF21" s="8">
        <v>6.1187500000000004</v>
      </c>
      <c r="BG21" s="8">
        <v>6.2320000000000002</v>
      </c>
      <c r="BH21" s="8">
        <v>5.26</v>
      </c>
      <c r="BI21" s="8">
        <v>5.6047830000000003</v>
      </c>
      <c r="BJ21" s="8">
        <v>4.9420000000000002</v>
      </c>
      <c r="BK21" s="8">
        <v>5.8437070000000002</v>
      </c>
      <c r="BL21" s="8">
        <v>5.8935919999999999</v>
      </c>
      <c r="BM21" s="8">
        <v>5.4116359999999997</v>
      </c>
      <c r="BN21" s="8">
        <v>6.1683329999999996</v>
      </c>
      <c r="BO21" s="8">
        <v>5.9572580000000004</v>
      </c>
      <c r="BP21" s="8">
        <v>5.8021430000000001</v>
      </c>
      <c r="BQ21" s="8">
        <v>4.9450000000000003</v>
      </c>
      <c r="BR21" s="8">
        <v>5.9634999999999998</v>
      </c>
      <c r="BS21" s="8">
        <v>6.0815380000000001</v>
      </c>
      <c r="BT21" s="8">
        <v>5.4427269999999996</v>
      </c>
      <c r="BU21" s="8">
        <v>5.8738460000000003</v>
      </c>
    </row>
    <row r="22" spans="1:73" x14ac:dyDescent="0.25">
      <c r="A22" s="9" t="s">
        <v>115</v>
      </c>
      <c r="B22" s="5" t="s">
        <v>116</v>
      </c>
      <c r="C22" s="3">
        <v>0.26279978581441799</v>
      </c>
      <c r="D22" s="3">
        <v>8.9051143771596893E-3</v>
      </c>
      <c r="E22" s="10">
        <v>1.671903554496171E-3</v>
      </c>
      <c r="F22" s="2">
        <v>1.3614098888347369E-2</v>
      </c>
      <c r="G22" s="2">
        <v>6.8696116504854299</v>
      </c>
      <c r="H22" s="5">
        <v>7.1966061732143398</v>
      </c>
      <c r="I22" s="2">
        <f t="shared" si="0"/>
        <v>-0.32699452272890994</v>
      </c>
      <c r="J22">
        <v>8</v>
      </c>
      <c r="K22">
        <v>2</v>
      </c>
      <c r="L22" s="5">
        <v>6.8498809796783106E-2</v>
      </c>
      <c r="M22" s="5">
        <v>6.5980485483833201E-2</v>
      </c>
      <c r="N22" s="6">
        <v>15.155996392979301</v>
      </c>
      <c r="O22" s="3">
        <v>6.8740258303735997</v>
      </c>
      <c r="P22" s="3" t="s">
        <v>75</v>
      </c>
      <c r="Q22" s="3">
        <v>0.26279978581441799</v>
      </c>
      <c r="R22" s="3">
        <v>0</v>
      </c>
      <c r="S22" s="3">
        <v>0</v>
      </c>
      <c r="T22" s="3">
        <v>0</v>
      </c>
      <c r="U22">
        <v>0</v>
      </c>
      <c r="V22" s="3">
        <f>G22+U22</f>
        <v>6.8696116504854299</v>
      </c>
      <c r="W22" s="7">
        <v>6.85</v>
      </c>
      <c r="X22" s="7">
        <v>7.75</v>
      </c>
      <c r="Y22" s="7">
        <v>9.91</v>
      </c>
      <c r="Z22" s="7">
        <v>0</v>
      </c>
      <c r="AA22" s="7">
        <v>0</v>
      </c>
      <c r="AB22" s="7">
        <v>7.5250000000000004</v>
      </c>
      <c r="AC22" s="7">
        <v>7.93</v>
      </c>
      <c r="AD22" s="7">
        <v>4.96</v>
      </c>
      <c r="AE22" s="7">
        <v>9.5500000000000007</v>
      </c>
      <c r="AF22" s="7">
        <v>6.515714</v>
      </c>
      <c r="AG22" s="7">
        <v>6.0469229999999996</v>
      </c>
      <c r="AH22" s="7">
        <v>7.6375000000000002</v>
      </c>
      <c r="AI22" s="7">
        <v>6.89</v>
      </c>
      <c r="AJ22" s="7">
        <v>7.4124999999999996</v>
      </c>
      <c r="AK22" s="7">
        <v>6.6571429999999996</v>
      </c>
      <c r="AL22" s="7">
        <v>6.6212499999999999</v>
      </c>
      <c r="AM22" s="7">
        <v>6.5987499999999999</v>
      </c>
      <c r="AN22" s="13">
        <v>4.1843828882288398E-3</v>
      </c>
      <c r="AO22" s="13">
        <v>1.6914653283675799E-3</v>
      </c>
      <c r="AP22" s="13">
        <v>1.83210410708344E-3</v>
      </c>
      <c r="AQ22" s="13">
        <v>1.7755555048978001E-3</v>
      </c>
      <c r="AR22" s="13">
        <v>1.72537368032825E-3</v>
      </c>
      <c r="AS22" s="13">
        <v>1.5657202128695701E-3</v>
      </c>
      <c r="AT22" s="13">
        <v>1.3989411655359401E-3</v>
      </c>
      <c r="AU22" s="13">
        <v>1.5283825536629801E-3</v>
      </c>
      <c r="AV22" s="13">
        <v>1.3605933802700899E-3</v>
      </c>
      <c r="AW22" s="13">
        <v>1.34033405684051E-3</v>
      </c>
      <c r="AX22" s="13">
        <v>1.33488395486903E-3</v>
      </c>
      <c r="AY22" s="13">
        <v>1.46298182120112E-3</v>
      </c>
      <c r="AZ22" s="13">
        <v>1.4011272690472999E-3</v>
      </c>
      <c r="BA22" s="13">
        <v>1.52474542285482E-3</v>
      </c>
      <c r="BB22" s="13">
        <v>1.2697560742638699E-3</v>
      </c>
      <c r="BC22" s="13">
        <v>1.52075379392126E-3</v>
      </c>
      <c r="BD22" s="13">
        <v>1.50525921219242E-3</v>
      </c>
      <c r="BE22" s="8">
        <v>6.8415670000000004</v>
      </c>
      <c r="BF22" s="8">
        <v>6.5454610000000004</v>
      </c>
      <c r="BG22" s="8">
        <v>6.8174440000000001</v>
      </c>
      <c r="BH22" s="8">
        <v>7.3665390000000004</v>
      </c>
      <c r="BI22" s="8">
        <v>6.9959239999999996</v>
      </c>
      <c r="BJ22" s="8">
        <v>7.3589789999999997</v>
      </c>
      <c r="BK22" s="8">
        <v>7.2655989999999999</v>
      </c>
      <c r="BL22" s="8">
        <v>7.1764489999999999</v>
      </c>
      <c r="BM22" s="8">
        <v>7.2279660000000003</v>
      </c>
      <c r="BN22" s="8">
        <v>7.2079389999999997</v>
      </c>
      <c r="BO22" s="8">
        <v>7.2110250000000002</v>
      </c>
      <c r="BP22" s="8">
        <v>7.164015</v>
      </c>
      <c r="BQ22" s="8">
        <v>7.2746209999999998</v>
      </c>
      <c r="BR22" s="8">
        <v>7.2040259999999998</v>
      </c>
      <c r="BS22" s="8">
        <v>7.5423960000000001</v>
      </c>
      <c r="BT22" s="8">
        <v>7.3018609999999997</v>
      </c>
      <c r="BU22" s="8">
        <v>7.2917110000000003</v>
      </c>
    </row>
    <row r="23" spans="1:73" x14ac:dyDescent="0.25">
      <c r="A23" s="9" t="s">
        <v>117</v>
      </c>
      <c r="B23" s="5" t="s">
        <v>118</v>
      </c>
      <c r="C23" s="3">
        <v>0.32889544537517301</v>
      </c>
      <c r="D23" s="3">
        <v>8.1797598769378893E-2</v>
      </c>
      <c r="E23" s="10">
        <v>2.092396926718441E-3</v>
      </c>
      <c r="F23" s="2">
        <v>3.9835302613510585E-4</v>
      </c>
      <c r="G23" s="2">
        <v>4.375</v>
      </c>
      <c r="H23" s="5">
        <v>4.4590301724138</v>
      </c>
      <c r="I23" s="2">
        <f t="shared" si="0"/>
        <v>-8.4030172413799953E-2</v>
      </c>
      <c r="J23">
        <v>7</v>
      </c>
      <c r="K23">
        <v>4</v>
      </c>
      <c r="L23" s="5">
        <v>0.37636342822622398</v>
      </c>
      <c r="M23" s="5">
        <v>0.16894884140944899</v>
      </c>
      <c r="N23" s="6">
        <v>5.9189515101585801</v>
      </c>
      <c r="O23" s="3">
        <v>3.61</v>
      </c>
      <c r="P23" s="3" t="s">
        <v>75</v>
      </c>
      <c r="Q23" s="3">
        <v>0.32889544537517301</v>
      </c>
      <c r="R23" s="3">
        <v>0</v>
      </c>
      <c r="S23" s="3">
        <v>0</v>
      </c>
      <c r="T23" s="3">
        <v>0</v>
      </c>
      <c r="U23">
        <v>0</v>
      </c>
      <c r="V23" s="3">
        <f>G23+U23</f>
        <v>4.375</v>
      </c>
      <c r="W23" s="7">
        <v>1.9</v>
      </c>
      <c r="X23" s="7">
        <v>0</v>
      </c>
      <c r="Y23" s="7">
        <v>3.7</v>
      </c>
      <c r="Z23" s="7">
        <v>0</v>
      </c>
      <c r="AA23" s="7">
        <v>3.61</v>
      </c>
      <c r="AB23" s="7">
        <v>5.5</v>
      </c>
      <c r="AC23" s="7">
        <v>0</v>
      </c>
      <c r="AD23" s="7">
        <v>6.13</v>
      </c>
      <c r="AE23" s="7">
        <v>5.5</v>
      </c>
      <c r="AF23" s="7">
        <v>3.7</v>
      </c>
      <c r="AG23" s="7">
        <v>0</v>
      </c>
      <c r="AH23" s="7">
        <v>4.24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13">
        <v>5.2367792819136101E-3</v>
      </c>
      <c r="AO23" s="13">
        <v>2.11687859937213E-3</v>
      </c>
      <c r="AP23" s="13">
        <v>2.2928888408547299E-3</v>
      </c>
      <c r="AQ23" s="13">
        <v>2.22211793956364E-3</v>
      </c>
      <c r="AR23" s="13">
        <v>2.15931509712452E-3</v>
      </c>
      <c r="AS23" s="13">
        <v>1.9595078631772398E-3</v>
      </c>
      <c r="AT23" s="13">
        <v>1.7507829249812201E-3</v>
      </c>
      <c r="AU23" s="13">
        <v>1.9127795676576701E-3</v>
      </c>
      <c r="AV23" s="13">
        <v>1.7027904508813E-3</v>
      </c>
      <c r="AW23" s="13">
        <v>1.67743579093848E-3</v>
      </c>
      <c r="AX23" s="13">
        <v>1.6706149569347801E-3</v>
      </c>
      <c r="AY23" s="13">
        <v>1.8309301743476801E-3</v>
      </c>
      <c r="AZ23" s="13">
        <v>1.75351884611518E-3</v>
      </c>
      <c r="BA23" s="13">
        <v>1.90822767750551E-3</v>
      </c>
      <c r="BB23" s="13">
        <v>1.5891070392947701E-3</v>
      </c>
      <c r="BC23" s="13">
        <v>1.9032321309079101E-3</v>
      </c>
      <c r="BD23" s="13">
        <v>1.88384057264307E-3</v>
      </c>
      <c r="BE23" s="8">
        <v>3.085</v>
      </c>
      <c r="BF23" s="8">
        <v>3.4660000000000002</v>
      </c>
      <c r="BG23" s="8">
        <v>5.3650000000000002</v>
      </c>
      <c r="BH23" s="8">
        <v>3.07</v>
      </c>
      <c r="BI23" s="8">
        <v>4.09</v>
      </c>
      <c r="BJ23" s="8">
        <v>4.8828569999999996</v>
      </c>
      <c r="BK23" s="8">
        <v>4.4158330000000001</v>
      </c>
      <c r="BL23" s="8">
        <v>4.54</v>
      </c>
      <c r="BM23" s="8">
        <v>4.9410530000000001</v>
      </c>
      <c r="BN23" s="8">
        <v>4.0312000000000001</v>
      </c>
      <c r="BO23" s="8">
        <v>4.5667390000000001</v>
      </c>
      <c r="BP23" s="8">
        <v>4.6756000000000002</v>
      </c>
      <c r="BQ23" s="8">
        <v>3.8639999999999999</v>
      </c>
      <c r="BR23" s="8">
        <v>5.9320000000000004</v>
      </c>
      <c r="BS23" s="8">
        <v>3.8176920000000001</v>
      </c>
      <c r="BT23" s="8">
        <v>4.28</v>
      </c>
      <c r="BU23" s="8">
        <v>4.7157140000000002</v>
      </c>
    </row>
    <row r="24" spans="1:73" x14ac:dyDescent="0.25">
      <c r="A24" s="9" t="s">
        <v>119</v>
      </c>
      <c r="B24" s="5" t="s">
        <v>120</v>
      </c>
      <c r="C24" s="3">
        <v>0.49853531906649901</v>
      </c>
      <c r="D24" s="3">
        <v>1.8054636824371001E-2</v>
      </c>
      <c r="E24" s="10">
        <v>3.489760735643031E-3</v>
      </c>
      <c r="F24" s="2">
        <v>6.5822092833431036E-3</v>
      </c>
      <c r="G24" s="2">
        <v>7.6155769230769303</v>
      </c>
      <c r="H24" s="5">
        <v>7.1216288782815003</v>
      </c>
      <c r="I24" s="2">
        <f t="shared" si="0"/>
        <v>0.49394804479543009</v>
      </c>
      <c r="J24">
        <v>2</v>
      </c>
      <c r="K24">
        <v>3</v>
      </c>
      <c r="L24" s="5">
        <v>5.7331276700424497E-2</v>
      </c>
      <c r="M24" s="5">
        <v>6.0897083527506203E-2</v>
      </c>
      <c r="N24" s="6">
        <v>16.421147649021901</v>
      </c>
      <c r="O24" s="3">
        <v>6.43276151471244</v>
      </c>
      <c r="P24" s="3" t="s">
        <v>75</v>
      </c>
      <c r="Q24" s="3">
        <v>0.49853531906649901</v>
      </c>
      <c r="R24" s="3">
        <v>0</v>
      </c>
      <c r="S24" s="3">
        <v>0</v>
      </c>
      <c r="T24" s="3">
        <v>0</v>
      </c>
      <c r="U24">
        <v>0</v>
      </c>
      <c r="V24" s="3">
        <f>G24+U24</f>
        <v>7.6155769230769303</v>
      </c>
      <c r="W24" s="7">
        <v>8.1999999999999993</v>
      </c>
      <c r="X24" s="7">
        <v>9.5500000000000007</v>
      </c>
      <c r="Y24" s="7">
        <v>8.5374999999999996</v>
      </c>
      <c r="Z24" s="7">
        <v>6.85</v>
      </c>
      <c r="AA24" s="7">
        <v>0</v>
      </c>
      <c r="AB24" s="7">
        <v>6.9512499999999999</v>
      </c>
      <c r="AC24" s="7">
        <v>9.5500000000000007</v>
      </c>
      <c r="AD24" s="7">
        <v>7.9749999999999996</v>
      </c>
      <c r="AE24" s="7">
        <v>7.9749999999999996</v>
      </c>
      <c r="AF24" s="7">
        <v>7.7350000000000003</v>
      </c>
      <c r="AG24" s="7">
        <v>7.0750000000000002</v>
      </c>
      <c r="AH24" s="7">
        <v>7.99</v>
      </c>
      <c r="AI24" s="7">
        <v>7.09</v>
      </c>
      <c r="AJ24" s="7">
        <v>9.3699999999999992</v>
      </c>
      <c r="AK24" s="7">
        <v>7.2249999999999996</v>
      </c>
      <c r="AL24" s="7">
        <v>6.62</v>
      </c>
      <c r="AM24" s="7">
        <v>6.25</v>
      </c>
      <c r="AN24" s="13">
        <v>8.7340535086296196E-3</v>
      </c>
      <c r="AO24" s="13">
        <v>3.5305919846659898E-3</v>
      </c>
      <c r="AP24" s="13">
        <v>3.8241470085497E-3</v>
      </c>
      <c r="AQ24" s="13">
        <v>3.70611323140253E-3</v>
      </c>
      <c r="AR24" s="13">
        <v>3.60136881564076E-3</v>
      </c>
      <c r="AS24" s="13">
        <v>3.26812447236015E-3</v>
      </c>
      <c r="AT24" s="13">
        <v>2.9200069213521098E-3</v>
      </c>
      <c r="AU24" s="13">
        <v>3.1901896556600301E-3</v>
      </c>
      <c r="AV24" s="13">
        <v>2.83996367067551E-3</v>
      </c>
      <c r="AW24" s="13">
        <v>2.7976764279424599E-3</v>
      </c>
      <c r="AX24" s="13">
        <v>2.7863004416816802E-3</v>
      </c>
      <c r="AY24" s="13">
        <v>3.0536788458026499E-3</v>
      </c>
      <c r="AZ24" s="13">
        <v>2.9245699705647901E-3</v>
      </c>
      <c r="BA24" s="13">
        <v>3.1825978802549199E-3</v>
      </c>
      <c r="BB24" s="13">
        <v>2.65035915492485E-3</v>
      </c>
      <c r="BC24" s="13">
        <v>3.1742661616661698E-3</v>
      </c>
      <c r="BD24" s="13">
        <v>3.14192435415754E-3</v>
      </c>
      <c r="BE24" s="8">
        <v>7.2403490000000001</v>
      </c>
      <c r="BF24" s="8">
        <v>7.3016220000000001</v>
      </c>
      <c r="BG24" s="8">
        <v>7.4538320000000002</v>
      </c>
      <c r="BH24" s="8">
        <v>7.3022780000000003</v>
      </c>
      <c r="BI24" s="8">
        <v>6.8495590000000002</v>
      </c>
      <c r="BJ24" s="8">
        <v>7.0144029999999997</v>
      </c>
      <c r="BK24" s="8">
        <v>7.1470760000000002</v>
      </c>
      <c r="BL24" s="8">
        <v>7.202928</v>
      </c>
      <c r="BM24" s="8">
        <v>6.8768320000000003</v>
      </c>
      <c r="BN24" s="8">
        <v>6.8971689999999999</v>
      </c>
      <c r="BO24" s="8">
        <v>7.0719180000000001</v>
      </c>
      <c r="BP24" s="8">
        <v>7.0088889999999999</v>
      </c>
      <c r="BQ24" s="8">
        <v>7.28681</v>
      </c>
      <c r="BR24" s="8">
        <v>7.5343229999999997</v>
      </c>
      <c r="BS24" s="8">
        <v>7.3119680000000002</v>
      </c>
      <c r="BT24" s="8">
        <v>7.1117689999999998</v>
      </c>
      <c r="BU24" s="8">
        <v>6.991752</v>
      </c>
    </row>
    <row r="25" spans="1:73" x14ac:dyDescent="0.25">
      <c r="A25" s="9" t="s">
        <v>121</v>
      </c>
      <c r="B25" s="5" t="s">
        <v>122</v>
      </c>
      <c r="C25" s="3">
        <v>0.41104501690831002</v>
      </c>
      <c r="D25" s="3">
        <v>2.9457154956974398E-2</v>
      </c>
      <c r="E25" s="10">
        <v>3.1004912878698642E-3</v>
      </c>
      <c r="F25" s="2">
        <v>2.5561910598832708E-3</v>
      </c>
      <c r="G25" s="2">
        <v>7.0915306122448998</v>
      </c>
      <c r="H25" s="5">
        <v>6.6101701244813604</v>
      </c>
      <c r="I25" s="2">
        <f t="shared" si="0"/>
        <v>0.48136048776353935</v>
      </c>
      <c r="J25">
        <v>2</v>
      </c>
      <c r="K25">
        <v>3</v>
      </c>
      <c r="L25" s="5">
        <v>0.193181486586745</v>
      </c>
      <c r="M25" s="5">
        <v>9.4361559513194804E-2</v>
      </c>
      <c r="N25" s="6">
        <v>10.5975357461125</v>
      </c>
      <c r="O25" s="3">
        <v>6.9794372057837304</v>
      </c>
      <c r="P25" s="3" t="s">
        <v>105</v>
      </c>
      <c r="Q25" s="3">
        <v>47.8161126777566</v>
      </c>
      <c r="R25" s="3">
        <v>8.3415678072293296E-3</v>
      </c>
      <c r="S25" s="3">
        <v>0</v>
      </c>
      <c r="T25" s="3">
        <v>2.6472139699836798E-2</v>
      </c>
      <c r="U25">
        <v>0</v>
      </c>
      <c r="V25" s="3">
        <f>G25+U25</f>
        <v>7.0915306122448998</v>
      </c>
      <c r="W25" s="7">
        <v>4.66</v>
      </c>
      <c r="X25" s="7">
        <v>5.5</v>
      </c>
      <c r="Y25" s="7">
        <v>7.9</v>
      </c>
      <c r="Z25" s="7">
        <v>6.85</v>
      </c>
      <c r="AA25" s="7">
        <v>8.1999999999999993</v>
      </c>
      <c r="AB25" s="7">
        <v>7.9749999999999996</v>
      </c>
      <c r="AC25" s="7">
        <v>9.5500000000000007</v>
      </c>
      <c r="AD25" s="7">
        <v>5.5</v>
      </c>
      <c r="AE25" s="7">
        <v>7.9187500000000002</v>
      </c>
      <c r="AF25" s="7">
        <v>5.5</v>
      </c>
      <c r="AG25" s="7">
        <v>7.6</v>
      </c>
      <c r="AH25" s="7">
        <v>7.93</v>
      </c>
      <c r="AI25" s="7">
        <v>6.85</v>
      </c>
      <c r="AJ25" s="7">
        <v>9.5500000000000007</v>
      </c>
      <c r="AK25" s="7">
        <v>5.5</v>
      </c>
      <c r="AL25" s="7">
        <v>7.5250000000000004</v>
      </c>
      <c r="AM25" s="7">
        <v>9.5500000000000007</v>
      </c>
      <c r="AN25" s="13">
        <v>7.7598032824177402E-3</v>
      </c>
      <c r="AO25" s="13">
        <v>3.1367679674070901E-3</v>
      </c>
      <c r="AP25" s="13">
        <v>3.3975780523982499E-3</v>
      </c>
      <c r="AQ25" s="13">
        <v>3.29271049114072E-3</v>
      </c>
      <c r="AR25" s="13">
        <v>3.19964991389099E-3</v>
      </c>
      <c r="AS25" s="13">
        <v>2.9035777011113201E-3</v>
      </c>
      <c r="AT25" s="13">
        <v>2.5942913299767298E-3</v>
      </c>
      <c r="AU25" s="13">
        <v>2.8343362148018198E-3</v>
      </c>
      <c r="AV25" s="13">
        <v>2.5231765974276401E-3</v>
      </c>
      <c r="AW25" s="13">
        <v>2.4856063347036801E-3</v>
      </c>
      <c r="AX25" s="13">
        <v>2.47549929615165E-3</v>
      </c>
      <c r="AY25" s="13">
        <v>2.71305266308437E-3</v>
      </c>
      <c r="AZ25" s="13">
        <v>2.5983453885216399E-3</v>
      </c>
      <c r="BA25" s="13">
        <v>2.8275912728742501E-3</v>
      </c>
      <c r="BB25" s="13">
        <v>2.35472173941359E-3</v>
      </c>
      <c r="BC25" s="13">
        <v>2.8201889255919398E-3</v>
      </c>
      <c r="BD25" s="13">
        <v>2.7914547228741799E-3</v>
      </c>
      <c r="BE25" s="8">
        <v>6.13</v>
      </c>
      <c r="BF25" s="8">
        <v>6.3540000000000001</v>
      </c>
      <c r="BG25" s="8">
        <v>5.9559620000000004</v>
      </c>
      <c r="BH25" s="8">
        <v>6.6936840000000002</v>
      </c>
      <c r="BI25" s="8">
        <v>6.4108619999999998</v>
      </c>
      <c r="BJ25" s="8">
        <v>6.7750000000000004</v>
      </c>
      <c r="BK25" s="8">
        <v>6.5580429999999996</v>
      </c>
      <c r="BL25" s="8">
        <v>6.1849540000000003</v>
      </c>
      <c r="BM25" s="8">
        <v>6.4782799999999998</v>
      </c>
      <c r="BN25" s="8">
        <v>6.4177530000000003</v>
      </c>
      <c r="BO25" s="8">
        <v>6.942615</v>
      </c>
      <c r="BP25" s="8">
        <v>6.9531669999999997</v>
      </c>
      <c r="BQ25" s="8">
        <v>6.5551899999999996</v>
      </c>
      <c r="BR25" s="8">
        <v>6.9226140000000003</v>
      </c>
      <c r="BS25" s="8">
        <v>6.277838</v>
      </c>
      <c r="BT25" s="8">
        <v>6.9491529999999999</v>
      </c>
      <c r="BU25" s="8">
        <v>7.1554549999999999</v>
      </c>
    </row>
    <row r="26" spans="1:73" x14ac:dyDescent="0.25">
      <c r="A26" s="9" t="s">
        <v>123</v>
      </c>
      <c r="B26" s="5" t="s">
        <v>124</v>
      </c>
      <c r="C26" s="3">
        <v>0.37356144553174597</v>
      </c>
      <c r="D26" s="3">
        <v>1.1460937004682301E-2</v>
      </c>
      <c r="E26" s="10">
        <v>2.3765571447166242E-3</v>
      </c>
      <c r="F26" s="2">
        <v>1.1532644618178376E-2</v>
      </c>
      <c r="G26" s="2">
        <v>6.9144220430107399</v>
      </c>
      <c r="H26" s="5">
        <v>6.8776247776197996</v>
      </c>
      <c r="I26" s="2">
        <f t="shared" si="0"/>
        <v>3.6797265390940304E-2</v>
      </c>
      <c r="J26">
        <v>1</v>
      </c>
      <c r="K26">
        <v>2</v>
      </c>
      <c r="L26" s="5">
        <v>3.5433868976347503E-2</v>
      </c>
      <c r="M26" s="5">
        <v>4.3713736429429398E-2</v>
      </c>
      <c r="N26" s="6">
        <v>22.876104439490799</v>
      </c>
      <c r="O26" s="3">
        <v>6.3559914738872996</v>
      </c>
      <c r="P26" s="3" t="s">
        <v>75</v>
      </c>
      <c r="Q26" s="3">
        <v>0.37356144553174597</v>
      </c>
      <c r="R26" s="3">
        <v>0</v>
      </c>
      <c r="S26" s="3">
        <v>0</v>
      </c>
      <c r="T26" s="3">
        <v>0</v>
      </c>
      <c r="U26">
        <v>0</v>
      </c>
      <c r="V26" s="3">
        <f>G26+U26</f>
        <v>6.9144220430107399</v>
      </c>
      <c r="W26" s="7">
        <v>5.9950000000000001</v>
      </c>
      <c r="X26" s="7">
        <v>5.9950000000000001</v>
      </c>
      <c r="Y26" s="7">
        <v>5.4775</v>
      </c>
      <c r="Z26" s="7">
        <v>4.8250000000000002</v>
      </c>
      <c r="AA26" s="7">
        <v>7.44625</v>
      </c>
      <c r="AB26" s="7">
        <v>8.0875000000000004</v>
      </c>
      <c r="AC26" s="7">
        <v>7.3</v>
      </c>
      <c r="AD26" s="7">
        <v>7.0339130000000001</v>
      </c>
      <c r="AE26" s="7">
        <v>8.7850000000000001</v>
      </c>
      <c r="AF26" s="7">
        <v>8.2449999999999992</v>
      </c>
      <c r="AG26" s="7">
        <v>6.6756669999999998</v>
      </c>
      <c r="AH26" s="7">
        <v>6.806</v>
      </c>
      <c r="AI26" s="7">
        <v>7.3875000000000002</v>
      </c>
      <c r="AJ26" s="7">
        <v>7.420909</v>
      </c>
      <c r="AK26" s="7">
        <v>7.33</v>
      </c>
      <c r="AL26" s="7">
        <v>6.9939999999999998</v>
      </c>
      <c r="AM26" s="7">
        <v>5.6478570000000001</v>
      </c>
      <c r="AN26" s="13">
        <v>5.9479657319390098E-3</v>
      </c>
      <c r="AO26" s="13">
        <v>2.4043635772900899E-3</v>
      </c>
      <c r="AP26" s="13">
        <v>2.6042770791679698E-3</v>
      </c>
      <c r="AQ26" s="13">
        <v>2.5238950594117298E-3</v>
      </c>
      <c r="AR26" s="13">
        <v>2.4525632093208901E-3</v>
      </c>
      <c r="AS26" s="13">
        <v>2.2256209387889799E-3</v>
      </c>
      <c r="AT26" s="13">
        <v>1.9885498855790901E-3</v>
      </c>
      <c r="AU26" s="13">
        <v>2.1725466567732699E-3</v>
      </c>
      <c r="AV26" s="13">
        <v>1.9340397418494901E-3</v>
      </c>
      <c r="AW26" s="13">
        <v>1.90524176500794E-3</v>
      </c>
      <c r="AX26" s="13">
        <v>1.8974946202968E-3</v>
      </c>
      <c r="AY26" s="13">
        <v>2.07958161845874E-3</v>
      </c>
      <c r="AZ26" s="13">
        <v>1.9916573614290299E-3</v>
      </c>
      <c r="BA26" s="13">
        <v>2.1673765922769202E-3</v>
      </c>
      <c r="BB26" s="13">
        <v>1.8049174321233599E-3</v>
      </c>
      <c r="BC26" s="13">
        <v>2.1617026200937799E-3</v>
      </c>
      <c r="BD26" s="13">
        <v>2.13967757037543E-3</v>
      </c>
      <c r="BE26" s="8">
        <v>6.7893330000000001</v>
      </c>
      <c r="BF26" s="8">
        <v>7.1187050000000003</v>
      </c>
      <c r="BG26" s="8">
        <v>7.2474220000000003</v>
      </c>
      <c r="BH26" s="8">
        <v>7.1386589999999996</v>
      </c>
      <c r="BI26" s="8">
        <v>7.3312150000000003</v>
      </c>
      <c r="BJ26" s="8">
        <v>6.783652</v>
      </c>
      <c r="BK26" s="8">
        <v>6.8985380000000003</v>
      </c>
      <c r="BL26" s="8">
        <v>6.8175780000000001</v>
      </c>
      <c r="BM26" s="8">
        <v>6.8254659999999996</v>
      </c>
      <c r="BN26" s="8">
        <v>6.9829619999999997</v>
      </c>
      <c r="BO26" s="8">
        <v>6.8345940000000001</v>
      </c>
      <c r="BP26" s="8">
        <v>6.8243020000000003</v>
      </c>
      <c r="BQ26" s="8">
        <v>6.9743899999999996</v>
      </c>
      <c r="BR26" s="8">
        <v>6.5379889999999996</v>
      </c>
      <c r="BS26" s="8">
        <v>6.8086539999999998</v>
      </c>
      <c r="BT26" s="8">
        <v>6.6298310000000003</v>
      </c>
      <c r="BU26" s="8">
        <v>6.6530620000000003</v>
      </c>
    </row>
    <row r="27" spans="1:73" x14ac:dyDescent="0.25">
      <c r="A27" s="9" t="s">
        <v>125</v>
      </c>
      <c r="B27" s="5" t="s">
        <v>126</v>
      </c>
      <c r="C27" s="3">
        <v>0.40504198430558602</v>
      </c>
      <c r="D27" s="3">
        <v>3.9979147499960697E-2</v>
      </c>
      <c r="E27" s="10">
        <v>2.576832896503596E-3</v>
      </c>
      <c r="F27" s="2">
        <v>1.565135436223607E-3</v>
      </c>
      <c r="G27" s="2">
        <v>7.32</v>
      </c>
      <c r="H27" s="5">
        <v>5.80426247288504</v>
      </c>
      <c r="I27" s="2">
        <f t="shared" si="0"/>
        <v>1.5157375271149602</v>
      </c>
      <c r="J27">
        <v>2</v>
      </c>
      <c r="K27">
        <v>3</v>
      </c>
      <c r="L27" s="5">
        <v>0.38922677645896497</v>
      </c>
      <c r="M27" s="5">
        <v>0.136419206026067</v>
      </c>
      <c r="N27" s="6">
        <v>7.3303461376906096</v>
      </c>
      <c r="O27" s="3">
        <v>5.5</v>
      </c>
      <c r="P27" s="3" t="s">
        <v>75</v>
      </c>
      <c r="Q27" s="3">
        <v>0.40504198430558602</v>
      </c>
      <c r="R27" s="3">
        <v>0</v>
      </c>
      <c r="S27" s="3">
        <v>0</v>
      </c>
      <c r="T27" s="3">
        <v>0</v>
      </c>
      <c r="U27">
        <v>2.1871526857444801</v>
      </c>
      <c r="V27" s="3">
        <f>G27+U27</f>
        <v>9.5071526857444795</v>
      </c>
      <c r="W27" s="7">
        <v>0</v>
      </c>
      <c r="X27" s="7">
        <v>5.5</v>
      </c>
      <c r="Y27" s="7">
        <v>9.5500000000000007</v>
      </c>
      <c r="Z27" s="7">
        <v>9.5500000000000007</v>
      </c>
      <c r="AA27" s="7">
        <v>7.5250000000000004</v>
      </c>
      <c r="AB27" s="7">
        <v>0</v>
      </c>
      <c r="AC27" s="7">
        <v>0</v>
      </c>
      <c r="AD27" s="7">
        <v>9.5500000000000007</v>
      </c>
      <c r="AE27" s="7">
        <v>9.1</v>
      </c>
      <c r="AF27" s="7">
        <v>3.61</v>
      </c>
      <c r="AG27" s="7">
        <v>6.1749999999999998</v>
      </c>
      <c r="AH27" s="7">
        <v>5.95</v>
      </c>
      <c r="AI27" s="7">
        <v>0</v>
      </c>
      <c r="AJ27" s="7">
        <v>1.9</v>
      </c>
      <c r="AK27" s="7">
        <v>0</v>
      </c>
      <c r="AL27" s="7">
        <v>9.5500000000000007</v>
      </c>
      <c r="AM27" s="7">
        <v>0</v>
      </c>
      <c r="AN27" s="13">
        <v>6.4492090162486197E-3</v>
      </c>
      <c r="AO27" s="13">
        <v>2.6069826155410798E-3</v>
      </c>
      <c r="AP27" s="13">
        <v>2.8237431042334501E-3</v>
      </c>
      <c r="AQ27" s="13">
        <v>2.73658718069265E-3</v>
      </c>
      <c r="AR27" s="13">
        <v>2.6592440971100902E-3</v>
      </c>
      <c r="AS27" s="13">
        <v>2.4131770881118501E-3</v>
      </c>
      <c r="AT27" s="13">
        <v>2.1561277299349999E-3</v>
      </c>
      <c r="AU27" s="13">
        <v>2.3556301630734901E-3</v>
      </c>
      <c r="AV27" s="13">
        <v>2.09702394113369E-3</v>
      </c>
      <c r="AW27" s="13">
        <v>2.0657991190236799E-3</v>
      </c>
      <c r="AX27" s="13">
        <v>2.0573991117316202E-3</v>
      </c>
      <c r="AY27" s="13">
        <v>2.2548308326276901E-3</v>
      </c>
      <c r="AZ27" s="13">
        <v>2.15949707706517E-3</v>
      </c>
      <c r="BA27" s="13">
        <v>2.3500244101039599E-3</v>
      </c>
      <c r="BB27" s="13">
        <v>1.9570203160937899E-3</v>
      </c>
      <c r="BC27" s="13">
        <v>2.34387228445116E-3</v>
      </c>
      <c r="BD27" s="13">
        <v>2.3199911533840901E-3</v>
      </c>
      <c r="BE27" s="8">
        <v>5.7076919999999998</v>
      </c>
      <c r="BF27" s="8">
        <v>6.01</v>
      </c>
      <c r="BG27" s="8">
        <v>5.8514290000000004</v>
      </c>
      <c r="BH27" s="8">
        <v>5.8150000000000004</v>
      </c>
      <c r="BI27" s="8">
        <v>5.7565</v>
      </c>
      <c r="BJ27" s="8">
        <v>4.7944000000000004</v>
      </c>
      <c r="BK27" s="8">
        <v>6.6148389999999999</v>
      </c>
      <c r="BL27" s="8">
        <v>5.6760869999999999</v>
      </c>
      <c r="BM27" s="8">
        <v>6.0266219999999997</v>
      </c>
      <c r="BN27" s="8">
        <v>5.6954289999999999</v>
      </c>
      <c r="BO27" s="8">
        <v>5.7134289999999996</v>
      </c>
      <c r="BP27" s="8">
        <v>5.3543640000000003</v>
      </c>
      <c r="BQ27" s="8">
        <v>5.1657140000000004</v>
      </c>
      <c r="BR27" s="8">
        <v>6.9505879999999998</v>
      </c>
      <c r="BS27" s="8">
        <v>5.4307689999999997</v>
      </c>
      <c r="BT27" s="8">
        <v>6.1023079999999998</v>
      </c>
      <c r="BU27" s="8">
        <v>5.8115379999999996</v>
      </c>
    </row>
    <row r="28" spans="1:73" x14ac:dyDescent="0.25">
      <c r="A28" s="9" t="s">
        <v>127</v>
      </c>
      <c r="B28" s="5" t="s">
        <v>128</v>
      </c>
      <c r="C28" s="3">
        <v>0.33697538605250899</v>
      </c>
      <c r="D28" s="3">
        <v>2.67605244122338E-2</v>
      </c>
      <c r="E28" s="10">
        <v>2.1438006274356711E-3</v>
      </c>
      <c r="F28" s="2">
        <v>2.6262612420305462E-3</v>
      </c>
      <c r="G28" s="2">
        <v>5.8386585365853696</v>
      </c>
      <c r="H28" s="5">
        <v>5.94391055045873</v>
      </c>
      <c r="I28" s="2">
        <f t="shared" si="0"/>
        <v>-0.10525201387336036</v>
      </c>
      <c r="J28">
        <v>7</v>
      </c>
      <c r="K28">
        <v>4</v>
      </c>
      <c r="L28" s="5">
        <v>0.19683594349518599</v>
      </c>
      <c r="M28" s="5">
        <v>9.1740043475143002E-2</v>
      </c>
      <c r="N28" s="6">
        <v>10.9003654469703</v>
      </c>
      <c r="O28" s="3">
        <v>6.5309370982399804</v>
      </c>
      <c r="P28" s="3" t="s">
        <v>75</v>
      </c>
      <c r="Q28" s="3">
        <v>0.33697538605250899</v>
      </c>
      <c r="R28" s="3">
        <v>0</v>
      </c>
      <c r="S28" s="3">
        <v>0</v>
      </c>
      <c r="T28" s="3">
        <v>0</v>
      </c>
      <c r="U28">
        <v>0</v>
      </c>
      <c r="V28" s="3">
        <f>G28+U28</f>
        <v>5.8386585365853696</v>
      </c>
      <c r="W28" s="7">
        <v>6.22</v>
      </c>
      <c r="X28" s="7">
        <v>0</v>
      </c>
      <c r="Y28" s="7">
        <v>4.8025000000000002</v>
      </c>
      <c r="Z28" s="7">
        <v>5.5</v>
      </c>
      <c r="AA28" s="7">
        <v>0</v>
      </c>
      <c r="AB28" s="7">
        <v>4.5999999999999996</v>
      </c>
      <c r="AC28" s="7">
        <v>3.7</v>
      </c>
      <c r="AD28" s="7">
        <v>8.1333330000000004</v>
      </c>
      <c r="AE28" s="7">
        <v>0</v>
      </c>
      <c r="AF28" s="7">
        <v>8.0875000000000004</v>
      </c>
      <c r="AG28" s="7">
        <v>5.74</v>
      </c>
      <c r="AH28" s="7">
        <v>6.9249999999999998</v>
      </c>
      <c r="AI28" s="7">
        <v>3.7</v>
      </c>
      <c r="AJ28" s="7">
        <v>5.5</v>
      </c>
      <c r="AK28" s="7">
        <v>4.4649999999999999</v>
      </c>
      <c r="AL28" s="7">
        <v>5.4775</v>
      </c>
      <c r="AM28" s="7">
        <v>5.1849999999999996</v>
      </c>
      <c r="AN28" s="13">
        <v>5.3654307014852501E-3</v>
      </c>
      <c r="AO28" s="13">
        <v>2.1688837388307699E-3</v>
      </c>
      <c r="AP28" s="13">
        <v>2.34921800586551E-3</v>
      </c>
      <c r="AQ28" s="13">
        <v>2.2767084831001698E-3</v>
      </c>
      <c r="AR28" s="13">
        <v>2.2123627696714601E-3</v>
      </c>
      <c r="AS28" s="13">
        <v>2.0076468918986201E-3</v>
      </c>
      <c r="AT28" s="13">
        <v>1.7937942295513001E-3</v>
      </c>
      <c r="AU28" s="13">
        <v>1.9597706271351498E-3</v>
      </c>
      <c r="AV28" s="13">
        <v>1.7446227292619301E-3</v>
      </c>
      <c r="AW28" s="13">
        <v>1.71864518398849E-3</v>
      </c>
      <c r="AX28" s="13">
        <v>1.71165678325532E-3</v>
      </c>
      <c r="AY28" s="13">
        <v>1.8759104481736E-3</v>
      </c>
      <c r="AZ28" s="13">
        <v>1.79659736377917E-3</v>
      </c>
      <c r="BA28" s="13">
        <v>1.9551069111644198E-3</v>
      </c>
      <c r="BB28" s="13">
        <v>1.62814646896152E-3</v>
      </c>
      <c r="BC28" s="13">
        <v>1.94998863948586E-3</v>
      </c>
      <c r="BD28" s="13">
        <v>1.9301206907978001E-3</v>
      </c>
      <c r="BE28" s="8">
        <v>6.5883330000000004</v>
      </c>
      <c r="BF28" s="8">
        <v>5.8644999999999996</v>
      </c>
      <c r="BG28" s="8">
        <v>6.1342189999999999</v>
      </c>
      <c r="BH28" s="8">
        <v>5.7536360000000002</v>
      </c>
      <c r="BI28" s="8">
        <v>6.3775000000000004</v>
      </c>
      <c r="BJ28" s="8">
        <v>6.2558059999999998</v>
      </c>
      <c r="BK28" s="8">
        <v>5.4290070000000004</v>
      </c>
      <c r="BL28" s="8">
        <v>6.0513310000000002</v>
      </c>
      <c r="BM28" s="8">
        <v>6.1344589999999997</v>
      </c>
      <c r="BN28" s="8">
        <v>5.8927880000000004</v>
      </c>
      <c r="BO28" s="8">
        <v>5.6027180000000003</v>
      </c>
      <c r="BP28" s="8">
        <v>5.8519420000000002</v>
      </c>
      <c r="BQ28" s="8">
        <v>6.0609999999999999</v>
      </c>
      <c r="BR28" s="8">
        <v>5.6948860000000003</v>
      </c>
      <c r="BS28" s="8">
        <v>5.8507449999999999</v>
      </c>
      <c r="BT28" s="8">
        <v>6.1276190000000001</v>
      </c>
      <c r="BU28" s="8">
        <v>6.282</v>
      </c>
    </row>
    <row r="29" spans="1:73" x14ac:dyDescent="0.25">
      <c r="A29" s="9" t="s">
        <v>129</v>
      </c>
      <c r="B29" s="5" t="s">
        <v>130</v>
      </c>
      <c r="C29" s="3">
        <v>0.38179982275033902</v>
      </c>
      <c r="D29" s="3">
        <v>1.9393230754663201E-2</v>
      </c>
      <c r="E29" s="10">
        <v>2.4289688014170318E-3</v>
      </c>
      <c r="F29" s="2">
        <v>4.5837550482774473E-3</v>
      </c>
      <c r="G29" s="2">
        <v>6.3291803278688503</v>
      </c>
      <c r="H29" s="5">
        <v>6.42840090090088</v>
      </c>
      <c r="I29" s="2">
        <f t="shared" si="0"/>
        <v>-9.9220573032029691E-2</v>
      </c>
      <c r="J29">
        <v>3</v>
      </c>
      <c r="K29">
        <v>2</v>
      </c>
      <c r="L29" s="5">
        <v>0.14937463750858701</v>
      </c>
      <c r="M29" s="5">
        <v>0.106486001869188</v>
      </c>
      <c r="N29" s="6">
        <v>9.3909056819359495</v>
      </c>
      <c r="O29" s="3">
        <v>6.8460346222296602</v>
      </c>
      <c r="P29" s="3" t="s">
        <v>75</v>
      </c>
      <c r="Q29" s="3">
        <v>0.38179982275033902</v>
      </c>
      <c r="R29" s="3">
        <v>0</v>
      </c>
      <c r="S29" s="3">
        <v>0</v>
      </c>
      <c r="T29" s="3">
        <v>0</v>
      </c>
      <c r="U29">
        <v>0</v>
      </c>
      <c r="V29" s="3">
        <f>G29+U29</f>
        <v>6.3291803278688503</v>
      </c>
      <c r="W29" s="7">
        <v>6.55</v>
      </c>
      <c r="X29" s="7">
        <v>6.94</v>
      </c>
      <c r="Y29" s="7">
        <v>3.82</v>
      </c>
      <c r="Z29" s="7">
        <v>0</v>
      </c>
      <c r="AA29" s="7">
        <v>3.7</v>
      </c>
      <c r="AB29" s="7">
        <v>6.625</v>
      </c>
      <c r="AC29" s="7">
        <v>0</v>
      </c>
      <c r="AD29" s="7">
        <v>3.6549999999999998</v>
      </c>
      <c r="AE29" s="7">
        <v>7.5250000000000004</v>
      </c>
      <c r="AF29" s="7">
        <v>6.76</v>
      </c>
      <c r="AG29" s="7">
        <v>6.1749999999999998</v>
      </c>
      <c r="AH29" s="7">
        <v>6.7262500000000003</v>
      </c>
      <c r="AI29" s="7">
        <v>5.35</v>
      </c>
      <c r="AJ29" s="7">
        <v>5.4775</v>
      </c>
      <c r="AK29" s="7">
        <v>5.68</v>
      </c>
      <c r="AL29" s="7">
        <v>8.1999999999999993</v>
      </c>
      <c r="AM29" s="7">
        <v>7.7649999999999997</v>
      </c>
      <c r="AN29" s="13">
        <v>6.0791398291835099E-3</v>
      </c>
      <c r="AO29" s="13">
        <v>2.45738846611974E-3</v>
      </c>
      <c r="AP29" s="13">
        <v>2.6617107817530402E-3</v>
      </c>
      <c r="AQ29" s="13">
        <v>2.5795560485429299E-3</v>
      </c>
      <c r="AR29" s="13">
        <v>2.50665107388107E-3</v>
      </c>
      <c r="AS29" s="13">
        <v>2.2747039077587699E-3</v>
      </c>
      <c r="AT29" s="13">
        <v>2.0324045827683902E-3</v>
      </c>
      <c r="AU29" s="13">
        <v>2.2204591463986798E-3</v>
      </c>
      <c r="AV29" s="13">
        <v>1.9766922937648201E-3</v>
      </c>
      <c r="AW29" s="13">
        <v>1.9472592176666601E-3</v>
      </c>
      <c r="AX29" s="13">
        <v>1.9393412204725901E-3</v>
      </c>
      <c r="AY29" s="13">
        <v>2.1254438936871901E-3</v>
      </c>
      <c r="AZ29" s="13">
        <v>2.03558058966873E-3</v>
      </c>
      <c r="BA29" s="13">
        <v>2.21517506333303E-3</v>
      </c>
      <c r="BB29" s="13">
        <v>1.8447223713966899E-3</v>
      </c>
      <c r="BC29" s="13">
        <v>2.2093759595986202E-3</v>
      </c>
      <c r="BD29" s="13">
        <v>2.1868651780950301E-3</v>
      </c>
      <c r="BE29" s="8">
        <v>5.5284690000000003</v>
      </c>
      <c r="BF29" s="8">
        <v>6.3752500000000003</v>
      </c>
      <c r="BG29" s="8">
        <v>6.3783539999999999</v>
      </c>
      <c r="BH29" s="8">
        <v>6.1944439999999998</v>
      </c>
      <c r="BI29" s="8">
        <v>6.4424650000000003</v>
      </c>
      <c r="BJ29" s="8">
        <v>6.481649</v>
      </c>
      <c r="BK29" s="8">
        <v>5.917554</v>
      </c>
      <c r="BL29" s="8">
        <v>6.4768790000000003</v>
      </c>
      <c r="BM29" s="8">
        <v>6.4319569999999997</v>
      </c>
      <c r="BN29" s="8">
        <v>6.322203</v>
      </c>
      <c r="BO29" s="8">
        <v>6.8636780000000002</v>
      </c>
      <c r="BP29" s="8">
        <v>6.4720959999999996</v>
      </c>
      <c r="BQ29" s="8">
        <v>6.4476639999999996</v>
      </c>
      <c r="BR29" s="8">
        <v>5.7454070000000002</v>
      </c>
      <c r="BS29" s="8">
        <v>7.0014289999999999</v>
      </c>
      <c r="BT29" s="8">
        <v>7.1757999999999997</v>
      </c>
      <c r="BU29" s="8">
        <v>6.64527</v>
      </c>
    </row>
    <row r="30" spans="1:73" x14ac:dyDescent="0.25">
      <c r="A30" s="9" t="s">
        <v>131</v>
      </c>
      <c r="B30" s="5" t="s">
        <v>132</v>
      </c>
      <c r="C30" s="3">
        <v>0.38659245377309298</v>
      </c>
      <c r="D30" s="3">
        <v>1.3946020116840799E-2</v>
      </c>
      <c r="E30" s="10">
        <v>3.9887492885704043E-3</v>
      </c>
      <c r="F30" s="2">
        <v>1.521728930468493E-2</v>
      </c>
      <c r="G30" s="2">
        <v>5.6025172413793101</v>
      </c>
      <c r="H30" s="5">
        <v>5.4991127074781803</v>
      </c>
      <c r="I30" s="2">
        <f t="shared" si="0"/>
        <v>0.1034045339011298</v>
      </c>
      <c r="J30">
        <v>1</v>
      </c>
      <c r="K30">
        <v>2</v>
      </c>
      <c r="L30" s="5">
        <v>6.7005674386226496E-2</v>
      </c>
      <c r="M30" s="5">
        <v>4.1673475868009797E-2</v>
      </c>
      <c r="N30" s="6">
        <v>23.9960785408745</v>
      </c>
      <c r="O30" s="3">
        <v>6.4569088797313299</v>
      </c>
      <c r="P30" s="3" t="s">
        <v>75</v>
      </c>
      <c r="Q30" s="3">
        <v>0.38659245377309298</v>
      </c>
      <c r="R30" s="3">
        <v>0</v>
      </c>
      <c r="S30" s="3">
        <v>0</v>
      </c>
      <c r="T30" s="3">
        <v>0</v>
      </c>
      <c r="U30">
        <v>0</v>
      </c>
      <c r="V30" s="3">
        <f>G30+U30</f>
        <v>5.6025172413793101</v>
      </c>
      <c r="W30" s="7">
        <v>5.4459999999999997</v>
      </c>
      <c r="X30" s="7">
        <v>4.9093749999999998</v>
      </c>
      <c r="Y30" s="7">
        <v>6.1814289999999996</v>
      </c>
      <c r="Z30" s="7">
        <v>3.6549999999999998</v>
      </c>
      <c r="AA30" s="7">
        <v>4.3</v>
      </c>
      <c r="AB30" s="7">
        <v>5.9266670000000001</v>
      </c>
      <c r="AC30" s="7">
        <v>5.65</v>
      </c>
      <c r="AD30" s="7">
        <v>4.6830769999999999</v>
      </c>
      <c r="AE30" s="7">
        <v>5.65</v>
      </c>
      <c r="AF30" s="7">
        <v>4.4874999999999998</v>
      </c>
      <c r="AG30" s="7">
        <v>5.8375000000000004</v>
      </c>
      <c r="AH30" s="7">
        <v>5.125</v>
      </c>
      <c r="AI30" s="7">
        <v>6.1660000000000004</v>
      </c>
      <c r="AJ30" s="7">
        <v>6.88</v>
      </c>
      <c r="AK30" s="7">
        <v>4.875</v>
      </c>
      <c r="AL30" s="7">
        <v>5.5934619999999997</v>
      </c>
      <c r="AM30" s="7">
        <v>6.3509089999999997</v>
      </c>
      <c r="AN30" s="13">
        <v>9.9829049490588895E-3</v>
      </c>
      <c r="AO30" s="13">
        <v>4.0354188535718996E-3</v>
      </c>
      <c r="AP30" s="13">
        <v>4.3709482727418503E-3</v>
      </c>
      <c r="AQ30" s="13">
        <v>4.2360372629942702E-3</v>
      </c>
      <c r="AR30" s="13">
        <v>4.1163158134449604E-3</v>
      </c>
      <c r="AS30" s="13">
        <v>3.7354220393806198E-3</v>
      </c>
      <c r="AT30" s="13">
        <v>3.3375283901856899E-3</v>
      </c>
      <c r="AU30" s="13">
        <v>3.6463435987034499E-3</v>
      </c>
      <c r="AV30" s="13">
        <v>3.2460400380100699E-3</v>
      </c>
      <c r="AW30" s="13">
        <v>3.19770629190413E-3</v>
      </c>
      <c r="AX30" s="13">
        <v>3.1847036935766702E-3</v>
      </c>
      <c r="AY30" s="13">
        <v>3.49031359064604E-3</v>
      </c>
      <c r="AZ30" s="13">
        <v>3.3427438936770599E-3</v>
      </c>
      <c r="BA30" s="13">
        <v>3.63766630216651E-3</v>
      </c>
      <c r="BB30" s="13">
        <v>3.0293246427149602E-3</v>
      </c>
      <c r="BC30" s="13">
        <v>3.6281432605854598E-3</v>
      </c>
      <c r="BD30" s="13">
        <v>3.59117701233425E-3</v>
      </c>
      <c r="BE30" s="8">
        <v>5.4777120000000004</v>
      </c>
      <c r="BF30" s="8">
        <v>5.5433570000000003</v>
      </c>
      <c r="BG30" s="8">
        <v>5.7559810000000002</v>
      </c>
      <c r="BH30" s="8">
        <v>5.6166330000000002</v>
      </c>
      <c r="BI30" s="8">
        <v>5.3973240000000002</v>
      </c>
      <c r="BJ30" s="8">
        <v>5.4455520000000002</v>
      </c>
      <c r="BK30" s="8">
        <v>5.2479110000000002</v>
      </c>
      <c r="BL30" s="8">
        <v>5.2972859999999997</v>
      </c>
      <c r="BM30" s="8">
        <v>5.3873990000000003</v>
      </c>
      <c r="BN30" s="8">
        <v>5.4468259999999997</v>
      </c>
      <c r="BO30" s="8">
        <v>5.4985879999999998</v>
      </c>
      <c r="BP30" s="8">
        <v>5.5187910000000002</v>
      </c>
      <c r="BQ30" s="8">
        <v>5.4930750000000002</v>
      </c>
      <c r="BR30" s="8">
        <v>5.829485</v>
      </c>
      <c r="BS30" s="8">
        <v>5.7235509999999996</v>
      </c>
      <c r="BT30" s="8">
        <v>5.4463929999999996</v>
      </c>
      <c r="BU30" s="8">
        <v>5.8023179999999996</v>
      </c>
    </row>
    <row r="31" spans="1:73" x14ac:dyDescent="0.25">
      <c r="A31" s="9" t="s">
        <v>133</v>
      </c>
      <c r="B31" s="5" t="s">
        <v>134</v>
      </c>
      <c r="C31" s="3">
        <v>0.183959181603054</v>
      </c>
      <c r="D31" s="3">
        <v>2.31626849742455E-2</v>
      </c>
      <c r="E31" s="10">
        <v>1.1703282354329791E-3</v>
      </c>
      <c r="F31" s="2">
        <v>7.1194263116551582E-3</v>
      </c>
      <c r="G31" s="2">
        <v>4.7167857142857104</v>
      </c>
      <c r="H31" s="5">
        <v>5.3378149414062204</v>
      </c>
      <c r="I31" s="2">
        <f t="shared" si="0"/>
        <v>-0.62102922712051001</v>
      </c>
      <c r="J31">
        <v>7</v>
      </c>
      <c r="K31">
        <v>4</v>
      </c>
      <c r="L31" s="5">
        <v>9.8698145023646405E-2</v>
      </c>
      <c r="M31" s="5">
        <v>4.8836386059123799E-2</v>
      </c>
      <c r="N31" s="6">
        <v>20.476535646788999</v>
      </c>
      <c r="O31" s="3">
        <v>6.105649757448</v>
      </c>
      <c r="P31" s="3" t="s">
        <v>78</v>
      </c>
      <c r="Q31" s="3">
        <v>44.484208738521097</v>
      </c>
      <c r="R31" s="3">
        <v>4.2706809263591099E-3</v>
      </c>
      <c r="S31" s="3">
        <v>0</v>
      </c>
      <c r="T31" s="3">
        <v>2.93935427135287E-2</v>
      </c>
      <c r="U31">
        <v>0</v>
      </c>
      <c r="V31" s="3">
        <f>G31+U31</f>
        <v>4.7167857142857104</v>
      </c>
      <c r="W31" s="7">
        <v>0</v>
      </c>
      <c r="X31" s="7">
        <v>3.7</v>
      </c>
      <c r="Y31" s="7">
        <v>4.915</v>
      </c>
      <c r="Z31" s="7">
        <v>3.2050000000000001</v>
      </c>
      <c r="AA31" s="7">
        <v>3.7</v>
      </c>
      <c r="AB31" s="7">
        <v>4.8520000000000003</v>
      </c>
      <c r="AC31" s="7">
        <v>4.21</v>
      </c>
      <c r="AD31" s="7">
        <v>6.625</v>
      </c>
      <c r="AE31" s="7">
        <v>0</v>
      </c>
      <c r="AF31" s="7">
        <v>4.0419999999999998</v>
      </c>
      <c r="AG31" s="7">
        <v>3.9249999999999998</v>
      </c>
      <c r="AH31" s="7">
        <v>2.8</v>
      </c>
      <c r="AI31" s="7">
        <v>0</v>
      </c>
      <c r="AJ31" s="7">
        <v>6.25</v>
      </c>
      <c r="AK31" s="7">
        <v>6.55</v>
      </c>
      <c r="AL31" s="7">
        <v>3.61</v>
      </c>
      <c r="AM31" s="7">
        <v>5.8937499999999998</v>
      </c>
      <c r="AN31" s="13">
        <v>2.9290573782125599E-3</v>
      </c>
      <c r="AO31" s="13">
        <v>1.1840214273849299E-3</v>
      </c>
      <c r="AP31" s="13">
        <v>1.28246821475215E-3</v>
      </c>
      <c r="AQ31" s="13">
        <v>1.24288433706127E-3</v>
      </c>
      <c r="AR31" s="13">
        <v>1.2077571875068901E-3</v>
      </c>
      <c r="AS31" s="13">
        <v>1.0960001663861401E-3</v>
      </c>
      <c r="AT31" s="13">
        <v>9.7925525747782102E-4</v>
      </c>
      <c r="AU31" s="13">
        <v>1.06986389991495E-3</v>
      </c>
      <c r="AV31" s="13">
        <v>9.5241190533453901E-4</v>
      </c>
      <c r="AW31" s="13">
        <v>9.3823043046618296E-4</v>
      </c>
      <c r="AX31" s="13">
        <v>9.3441537294922604E-4</v>
      </c>
      <c r="AY31" s="13">
        <v>1.02408355354732E-3</v>
      </c>
      <c r="AZ31" s="13">
        <v>9.8078552437512695E-4</v>
      </c>
      <c r="BA31" s="13">
        <v>1.06731791760077E-3</v>
      </c>
      <c r="BB31" s="13">
        <v>8.8882602218724803E-4</v>
      </c>
      <c r="BC31" s="13">
        <v>1.06452378750053E-3</v>
      </c>
      <c r="BD31" s="13">
        <v>1.0536776197029301E-3</v>
      </c>
      <c r="BE31" s="8">
        <v>4.8849999999999998</v>
      </c>
      <c r="BF31" s="8">
        <v>4.8280820000000002</v>
      </c>
      <c r="BG31" s="8">
        <v>5.5998570000000001</v>
      </c>
      <c r="BH31" s="8">
        <v>6.0072729999999996</v>
      </c>
      <c r="BI31" s="8">
        <v>5.0558059999999996</v>
      </c>
      <c r="BJ31" s="8">
        <v>5.5879909999999997</v>
      </c>
      <c r="BK31" s="8">
        <v>5.1495870000000004</v>
      </c>
      <c r="BL31" s="8">
        <v>5.5153499999999998</v>
      </c>
      <c r="BM31" s="8">
        <v>5.377694</v>
      </c>
      <c r="BN31" s="8">
        <v>5.4828809999999999</v>
      </c>
      <c r="BO31" s="8">
        <v>5.2705830000000002</v>
      </c>
      <c r="BP31" s="8">
        <v>5.5611680000000003</v>
      </c>
      <c r="BQ31" s="8">
        <v>5.2401679999999997</v>
      </c>
      <c r="BR31" s="8">
        <v>4.9477859999999998</v>
      </c>
      <c r="BS31" s="8">
        <v>5.4088240000000001</v>
      </c>
      <c r="BT31" s="8">
        <v>5.1513999999999998</v>
      </c>
      <c r="BU31" s="8">
        <v>5.107532</v>
      </c>
    </row>
    <row r="32" spans="1:73" x14ac:dyDescent="0.25">
      <c r="A32" s="9" t="s">
        <v>135</v>
      </c>
      <c r="B32" s="5" t="s">
        <v>136</v>
      </c>
      <c r="C32" s="3">
        <v>0.48923501364454702</v>
      </c>
      <c r="D32" s="3">
        <v>2.6100593656705001E-2</v>
      </c>
      <c r="E32" s="10">
        <v>3.112459760046826E-3</v>
      </c>
      <c r="F32" s="2">
        <v>4.2963163003195658E-3</v>
      </c>
      <c r="G32" s="2">
        <v>6.8158620689655196</v>
      </c>
      <c r="H32" s="5">
        <v>6.8133287920072796</v>
      </c>
      <c r="I32" s="2">
        <f t="shared" si="0"/>
        <v>2.5332769582400161E-3</v>
      </c>
      <c r="J32">
        <v>2</v>
      </c>
      <c r="K32">
        <v>3</v>
      </c>
      <c r="L32" s="5">
        <v>0.162899904520795</v>
      </c>
      <c r="M32" s="5">
        <v>0.10787297886313101</v>
      </c>
      <c r="N32" s="6">
        <v>9.2701620974868799</v>
      </c>
      <c r="O32" s="3">
        <v>6.7736220931773303</v>
      </c>
      <c r="P32" s="3" t="s">
        <v>75</v>
      </c>
      <c r="Q32" s="3">
        <v>0.48923501364454702</v>
      </c>
      <c r="R32" s="3">
        <v>0</v>
      </c>
      <c r="S32" s="3">
        <v>0</v>
      </c>
      <c r="T32" s="3">
        <v>0</v>
      </c>
      <c r="U32">
        <v>0</v>
      </c>
      <c r="V32" s="3">
        <f>G32+U32</f>
        <v>6.8158620689655196</v>
      </c>
      <c r="W32" s="7">
        <v>5.35</v>
      </c>
      <c r="X32" s="7">
        <v>8.5374999999999996</v>
      </c>
      <c r="Y32" s="7">
        <v>6.13</v>
      </c>
      <c r="Z32" s="7">
        <v>0</v>
      </c>
      <c r="AA32" s="7">
        <v>0</v>
      </c>
      <c r="AB32" s="7">
        <v>3.7</v>
      </c>
      <c r="AC32" s="7">
        <v>6.7750000000000004</v>
      </c>
      <c r="AD32" s="7">
        <v>6.625</v>
      </c>
      <c r="AE32" s="7">
        <v>0</v>
      </c>
      <c r="AF32" s="7">
        <v>6.625</v>
      </c>
      <c r="AG32" s="7">
        <v>7.5250000000000004</v>
      </c>
      <c r="AH32" s="7">
        <v>3.7</v>
      </c>
      <c r="AI32" s="7">
        <v>8.65</v>
      </c>
      <c r="AJ32" s="7">
        <v>0</v>
      </c>
      <c r="AK32" s="7">
        <v>0</v>
      </c>
      <c r="AL32" s="7">
        <v>8.1999999999999993</v>
      </c>
      <c r="AM32" s="7">
        <v>9.5500000000000007</v>
      </c>
      <c r="AN32" s="13">
        <v>7.7897575641948501E-3</v>
      </c>
      <c r="AO32" s="13">
        <v>3.1488764743041698E-3</v>
      </c>
      <c r="AP32" s="13">
        <v>3.4106933346595698E-3</v>
      </c>
      <c r="AQ32" s="13">
        <v>3.3054209651401699E-3</v>
      </c>
      <c r="AR32" s="13">
        <v>3.2120011567795801E-3</v>
      </c>
      <c r="AS32" s="13">
        <v>2.91478605027372E-3</v>
      </c>
      <c r="AT32" s="13">
        <v>2.6043057763076201E-3</v>
      </c>
      <c r="AU32" s="13">
        <v>2.8452772789679202E-3</v>
      </c>
      <c r="AV32" s="13">
        <v>2.5329165276838598E-3</v>
      </c>
      <c r="AW32" s="13">
        <v>2.4952012367684502E-3</v>
      </c>
      <c r="AX32" s="13">
        <v>2.4850551831705901E-3</v>
      </c>
      <c r="AY32" s="13">
        <v>2.7235255502167399E-3</v>
      </c>
      <c r="AZ32" s="13">
        <v>2.6083754842714099E-3</v>
      </c>
      <c r="BA32" s="13">
        <v>2.8385063003118802E-3</v>
      </c>
      <c r="BB32" s="13">
        <v>2.3638114026333901E-3</v>
      </c>
      <c r="BC32" s="13">
        <v>2.8310753785943301E-3</v>
      </c>
      <c r="BD32" s="13">
        <v>2.80223025651773E-3</v>
      </c>
      <c r="BE32" s="8">
        <v>6.4</v>
      </c>
      <c r="BF32" s="8">
        <v>6.340789</v>
      </c>
      <c r="BG32" s="8">
        <v>7.4471150000000002</v>
      </c>
      <c r="BH32" s="8">
        <v>7.2986360000000001</v>
      </c>
      <c r="BI32" s="8">
        <v>6.8465379999999998</v>
      </c>
      <c r="BJ32" s="8">
        <v>6.4836720000000003</v>
      </c>
      <c r="BK32" s="8">
        <v>6.4649999999999999</v>
      </c>
      <c r="BL32" s="8">
        <v>6.7275219999999996</v>
      </c>
      <c r="BM32" s="8">
        <v>6.9075259999999998</v>
      </c>
      <c r="BN32" s="8">
        <v>6.3049999999999997</v>
      </c>
      <c r="BO32" s="8">
        <v>6.9177229999999996</v>
      </c>
      <c r="BP32" s="8">
        <v>6.7404120000000001</v>
      </c>
      <c r="BQ32" s="8">
        <v>7.3174630000000001</v>
      </c>
      <c r="BR32" s="8">
        <v>7.5647060000000002</v>
      </c>
      <c r="BS32" s="8">
        <v>7.1926920000000001</v>
      </c>
      <c r="BT32" s="8">
        <v>6.5085290000000002</v>
      </c>
      <c r="BU32" s="8">
        <v>7.0794119999999996</v>
      </c>
    </row>
    <row r="33" spans="1:73" x14ac:dyDescent="0.25">
      <c r="A33" s="9" t="s">
        <v>137</v>
      </c>
      <c r="B33" s="5" t="s">
        <v>138</v>
      </c>
      <c r="C33" s="3">
        <v>0.21684260737809499</v>
      </c>
      <c r="D33" s="3">
        <v>4.2522556957688501E-2</v>
      </c>
      <c r="E33" s="10">
        <v>1.3795290012057709E-3</v>
      </c>
      <c r="F33" s="2">
        <v>1.8857972888137488E-3</v>
      </c>
      <c r="G33" s="2">
        <v>5.7771052631578996</v>
      </c>
      <c r="H33" s="5">
        <v>5.2882296137339004</v>
      </c>
      <c r="I33" s="2">
        <f t="shared" si="0"/>
        <v>0.48887564942399919</v>
      </c>
      <c r="J33">
        <v>6</v>
      </c>
      <c r="K33">
        <v>4</v>
      </c>
      <c r="L33" s="5">
        <v>0.27891318269694299</v>
      </c>
      <c r="M33" s="5">
        <v>0.15548033833424399</v>
      </c>
      <c r="N33" s="6">
        <v>6.4316813991634696</v>
      </c>
      <c r="O33" s="3">
        <v>5.68537405718331</v>
      </c>
      <c r="P33" s="3" t="s">
        <v>78</v>
      </c>
      <c r="Q33" s="3">
        <v>25.1752507113201</v>
      </c>
      <c r="R33" s="3">
        <v>9.4000424985879807E-3</v>
      </c>
      <c r="S33" s="3">
        <v>0</v>
      </c>
      <c r="T33" s="3">
        <v>8.7490885269756999E-2</v>
      </c>
      <c r="U33">
        <v>0</v>
      </c>
      <c r="V33" s="3">
        <f>G33+U33</f>
        <v>5.7771052631578996</v>
      </c>
      <c r="W33" s="7">
        <v>0</v>
      </c>
      <c r="X33" s="7">
        <v>3.7</v>
      </c>
      <c r="Y33" s="7">
        <v>3.7</v>
      </c>
      <c r="Z33" s="7">
        <v>0</v>
      </c>
      <c r="AA33" s="7">
        <v>5.5</v>
      </c>
      <c r="AB33" s="7">
        <v>6.1187500000000004</v>
      </c>
      <c r="AC33" s="7">
        <v>8.65</v>
      </c>
      <c r="AD33" s="7">
        <v>4.0599999999999996</v>
      </c>
      <c r="AE33" s="7">
        <v>3.7</v>
      </c>
      <c r="AF33" s="7">
        <v>0</v>
      </c>
      <c r="AG33" s="7">
        <v>5.5</v>
      </c>
      <c r="AH33" s="7">
        <v>0</v>
      </c>
      <c r="AI33" s="7">
        <v>0</v>
      </c>
      <c r="AJ33" s="7">
        <v>3.61</v>
      </c>
      <c r="AK33" s="7">
        <v>3.7</v>
      </c>
      <c r="AL33" s="7">
        <v>0</v>
      </c>
      <c r="AM33" s="7">
        <v>9.5500000000000007</v>
      </c>
      <c r="AN33" s="13">
        <v>3.4526378814957398E-3</v>
      </c>
      <c r="AO33" s="13">
        <v>1.3956699049666799E-3</v>
      </c>
      <c r="AP33" s="13">
        <v>1.51171444199211E-3</v>
      </c>
      <c r="AQ33" s="13">
        <v>1.46505479079216E-3</v>
      </c>
      <c r="AR33" s="13">
        <v>1.4236485253763501E-3</v>
      </c>
      <c r="AS33" s="13">
        <v>1.2919144980695599E-3</v>
      </c>
      <c r="AT33" s="13">
        <v>1.1543009784550601E-3</v>
      </c>
      <c r="AU33" s="13">
        <v>1.26110627137844E-3</v>
      </c>
      <c r="AV33" s="13">
        <v>1.12265927175255E-3</v>
      </c>
      <c r="AW33" s="13">
        <v>1.10594280258736E-3</v>
      </c>
      <c r="AX33" s="13">
        <v>1.1014457885646599E-3</v>
      </c>
      <c r="AY33" s="13">
        <v>1.2071425084038199E-3</v>
      </c>
      <c r="AZ33" s="13">
        <v>1.1561047865667601E-3</v>
      </c>
      <c r="BA33" s="13">
        <v>1.25810518473229E-3</v>
      </c>
      <c r="BB33" s="13">
        <v>1.0477071624098999E-3</v>
      </c>
      <c r="BC33" s="13">
        <v>1.25481159290931E-3</v>
      </c>
      <c r="BD33" s="13">
        <v>1.2420266300452701E-3</v>
      </c>
      <c r="BE33" s="8">
        <v>5.2210000000000001</v>
      </c>
      <c r="BF33" s="8">
        <v>4.5549999999999997</v>
      </c>
      <c r="BG33" s="8">
        <v>6.3470589999999998</v>
      </c>
      <c r="BH33" s="8">
        <v>3.9036840000000002</v>
      </c>
      <c r="BI33" s="8">
        <v>4.7164710000000003</v>
      </c>
      <c r="BJ33" s="8">
        <v>4.9112499999999999</v>
      </c>
      <c r="BK33" s="8">
        <v>5.2726920000000002</v>
      </c>
      <c r="BL33" s="8">
        <v>5.1834150000000001</v>
      </c>
      <c r="BM33" s="8">
        <v>4.9837499999999997</v>
      </c>
      <c r="BN33" s="8">
        <v>4.7477609999999997</v>
      </c>
      <c r="BO33" s="8">
        <v>5.2658589999999998</v>
      </c>
      <c r="BP33" s="8">
        <v>5.4777079999999998</v>
      </c>
      <c r="BQ33" s="8">
        <v>5.7335710000000004</v>
      </c>
      <c r="BR33" s="8">
        <v>6.2785000000000002</v>
      </c>
      <c r="BS33" s="8">
        <v>5.5183330000000002</v>
      </c>
      <c r="BT33" s="8">
        <v>6.1619349999999997</v>
      </c>
      <c r="BU33" s="8">
        <v>4.99</v>
      </c>
    </row>
    <row r="34" spans="1:73" x14ac:dyDescent="0.25">
      <c r="A34" s="9" t="s">
        <v>139</v>
      </c>
      <c r="B34" s="5" t="s">
        <v>140</v>
      </c>
      <c r="C34" s="3">
        <v>0.15277991565148799</v>
      </c>
      <c r="D34" s="3">
        <v>7.2141731837767398E-2</v>
      </c>
      <c r="E34" s="10">
        <v>4.4505231242574883E-4</v>
      </c>
      <c r="F34" s="2">
        <v>1.0182821709797719E-3</v>
      </c>
      <c r="G34" s="2">
        <v>4.49714285714286</v>
      </c>
      <c r="H34" s="5">
        <v>4.7439641943734099</v>
      </c>
      <c r="I34" s="2">
        <f t="shared" si="0"/>
        <v>-0.24682133723054989</v>
      </c>
      <c r="J34">
        <v>7</v>
      </c>
      <c r="K34">
        <v>4</v>
      </c>
      <c r="L34" s="5">
        <v>0.23910605158312201</v>
      </c>
      <c r="M34" s="5">
        <v>0.123358493801174</v>
      </c>
      <c r="N34" s="6">
        <v>8.1064543606682999</v>
      </c>
      <c r="O34" s="3">
        <v>5.4488796831063899</v>
      </c>
      <c r="P34" s="3" t="s">
        <v>105</v>
      </c>
      <c r="Q34" s="3">
        <v>9.7816156256183397</v>
      </c>
      <c r="R34" s="3">
        <v>1.3938485666304399E-2</v>
      </c>
      <c r="S34" s="3">
        <v>0</v>
      </c>
      <c r="T34" s="3">
        <v>9.8411039298378605E-2</v>
      </c>
      <c r="U34">
        <v>0</v>
      </c>
      <c r="V34" s="3">
        <f>G34+U34</f>
        <v>4.49714285714286</v>
      </c>
      <c r="W34" s="7">
        <v>3.61</v>
      </c>
      <c r="X34" s="7">
        <v>4.42</v>
      </c>
      <c r="Y34" s="7">
        <v>5.95</v>
      </c>
      <c r="Z34" s="7">
        <v>0</v>
      </c>
      <c r="AA34" s="7">
        <v>0</v>
      </c>
      <c r="AB34" s="7">
        <v>3.7</v>
      </c>
      <c r="AC34" s="7">
        <v>0</v>
      </c>
      <c r="AD34" s="7">
        <v>3.7</v>
      </c>
      <c r="AE34" s="7">
        <v>0</v>
      </c>
      <c r="AF34" s="7">
        <v>0</v>
      </c>
      <c r="AG34" s="7">
        <v>0</v>
      </c>
      <c r="AH34" s="7">
        <v>4.5999999999999996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13">
        <v>1.1138616671235999E-3</v>
      </c>
      <c r="AO34" s="13">
        <v>4.5025955818655302E-4</v>
      </c>
      <c r="AP34" s="13">
        <v>4.8769689332224298E-4</v>
      </c>
      <c r="AQ34" s="13">
        <v>4.7264393999877898E-4</v>
      </c>
      <c r="AR34" s="13">
        <v>4.5928579083619197E-4</v>
      </c>
      <c r="AS34" s="13">
        <v>4.1678684124774501E-4</v>
      </c>
      <c r="AT34" s="13">
        <v>3.7239109815575698E-4</v>
      </c>
      <c r="AU34" s="13">
        <v>4.06847744267082E-4</v>
      </c>
      <c r="AV34" s="13">
        <v>3.6218311070153098E-4</v>
      </c>
      <c r="AW34" s="13">
        <v>3.5679018075873199E-4</v>
      </c>
      <c r="AX34" s="13">
        <v>3.5533939104132398E-4</v>
      </c>
      <c r="AY34" s="13">
        <v>3.89438398412044E-4</v>
      </c>
      <c r="AZ34" s="13">
        <v>3.7297302790901301E-4</v>
      </c>
      <c r="BA34" s="13">
        <v>4.0587955834964798E-4</v>
      </c>
      <c r="BB34" s="13">
        <v>3.38002676977426E-4</v>
      </c>
      <c r="BC34" s="13">
        <v>4.04817006815232E-4</v>
      </c>
      <c r="BD34" s="13">
        <v>4.0069242713481799E-4</v>
      </c>
      <c r="BE34" s="8">
        <v>5.59</v>
      </c>
      <c r="BF34" s="8">
        <v>4.7149999999999999</v>
      </c>
      <c r="BG34" s="8">
        <v>5.1110709999999999</v>
      </c>
      <c r="BH34" s="8">
        <v>4.9763640000000002</v>
      </c>
      <c r="BI34" s="8">
        <v>4.6360000000000001</v>
      </c>
      <c r="BJ34" s="8">
        <v>4.6393750000000002</v>
      </c>
      <c r="BK34" s="8">
        <v>4.4052860000000003</v>
      </c>
      <c r="BL34" s="8">
        <v>4.7827549999999999</v>
      </c>
      <c r="BM34" s="8">
        <v>5.2576000000000001</v>
      </c>
      <c r="BN34" s="8">
        <v>4.223846</v>
      </c>
      <c r="BO34" s="8">
        <v>4.6733330000000004</v>
      </c>
      <c r="BP34" s="8">
        <v>5.3621879999999997</v>
      </c>
      <c r="BQ34" s="8">
        <v>4.2004000000000001</v>
      </c>
      <c r="BR34" s="8">
        <v>3.3512499999999998</v>
      </c>
      <c r="BS34" s="8">
        <v>4.915</v>
      </c>
      <c r="BT34" s="8">
        <v>4.7718179999999997</v>
      </c>
      <c r="BU34" s="8">
        <v>5.34</v>
      </c>
    </row>
    <row r="35" spans="1:73" x14ac:dyDescent="0.25">
      <c r="A35" s="9" t="s">
        <v>141</v>
      </c>
      <c r="B35" s="5" t="s">
        <v>142</v>
      </c>
      <c r="C35" s="3">
        <v>0.266165928941551</v>
      </c>
      <c r="D35" s="3">
        <v>1.0414989679400299E-2</v>
      </c>
      <c r="E35" s="10">
        <v>1.693318589678774E-3</v>
      </c>
      <c r="F35" s="2">
        <v>6.4971857541073312E-3</v>
      </c>
      <c r="G35" s="2">
        <v>6.0331465517241396</v>
      </c>
      <c r="H35" s="5">
        <v>6.3184487350197696</v>
      </c>
      <c r="I35" s="2">
        <f t="shared" si="0"/>
        <v>-0.28530218329562995</v>
      </c>
      <c r="J35">
        <v>7</v>
      </c>
      <c r="K35">
        <v>4</v>
      </c>
      <c r="L35" s="5">
        <v>5.5087118063527299E-2</v>
      </c>
      <c r="M35" s="5">
        <v>4.4546452046509297E-2</v>
      </c>
      <c r="N35" s="6">
        <v>22.4484769057688</v>
      </c>
      <c r="O35" s="3">
        <v>6.4418591403387504</v>
      </c>
      <c r="P35" s="3" t="s">
        <v>75</v>
      </c>
      <c r="Q35" s="3">
        <v>0.266165928941551</v>
      </c>
      <c r="R35" s="3">
        <v>0</v>
      </c>
      <c r="S35" s="3">
        <v>0</v>
      </c>
      <c r="T35" s="3">
        <v>0</v>
      </c>
      <c r="U35">
        <v>0</v>
      </c>
      <c r="V35" s="3">
        <f>G35+U35</f>
        <v>6.0331465517241396</v>
      </c>
      <c r="W35" s="7">
        <v>4.51</v>
      </c>
      <c r="X35" s="7">
        <v>4.2220000000000004</v>
      </c>
      <c r="Y35" s="7">
        <v>2.8</v>
      </c>
      <c r="Z35" s="7">
        <v>5.0274999999999999</v>
      </c>
      <c r="AA35" s="7">
        <v>0</v>
      </c>
      <c r="AB35" s="7">
        <v>5.95</v>
      </c>
      <c r="AC35" s="7">
        <v>6.2919999999999998</v>
      </c>
      <c r="AD35" s="7">
        <v>6.7937500000000002</v>
      </c>
      <c r="AE35" s="7">
        <v>2.8</v>
      </c>
      <c r="AF35" s="7">
        <v>5.8337500000000002</v>
      </c>
      <c r="AG35" s="7">
        <v>6.55</v>
      </c>
      <c r="AH35" s="7">
        <v>5.3753849999999996</v>
      </c>
      <c r="AI35" s="7">
        <v>5.1849999999999996</v>
      </c>
      <c r="AJ35" s="7">
        <v>6.4</v>
      </c>
      <c r="AK35" s="7">
        <v>6.4</v>
      </c>
      <c r="AL35" s="7">
        <v>7.516</v>
      </c>
      <c r="AM35" s="7">
        <v>6.1630000000000003</v>
      </c>
      <c r="AN35" s="13">
        <v>4.2379797039829104E-3</v>
      </c>
      <c r="AO35" s="13">
        <v>1.7131309258954701E-3</v>
      </c>
      <c r="AP35" s="13">
        <v>1.85557111497745E-3</v>
      </c>
      <c r="AQ35" s="13">
        <v>1.7982981945127499E-3</v>
      </c>
      <c r="AR35" s="13">
        <v>1.74747360228129E-3</v>
      </c>
      <c r="AS35" s="13">
        <v>1.5857751696011001E-3</v>
      </c>
      <c r="AT35" s="13">
        <v>1.41685988710201E-3</v>
      </c>
      <c r="AU35" s="13">
        <v>1.5479592607470401E-3</v>
      </c>
      <c r="AV35" s="13">
        <v>1.37802091371204E-3</v>
      </c>
      <c r="AW35" s="13">
        <v>1.35750209318237E-3</v>
      </c>
      <c r="AX35" s="13">
        <v>1.35198218208515E-3</v>
      </c>
      <c r="AY35" s="13">
        <v>1.4817208250678701E-3</v>
      </c>
      <c r="AZ35" s="13">
        <v>1.4190739919197201E-3</v>
      </c>
      <c r="BA35" s="13">
        <v>1.54427554275147E-3</v>
      </c>
      <c r="BB35" s="13">
        <v>1.28602009316052E-3</v>
      </c>
      <c r="BC35" s="13">
        <v>1.54023278594404E-3</v>
      </c>
      <c r="BD35" s="13">
        <v>1.5245397376158799E-3</v>
      </c>
      <c r="BE35" s="8">
        <v>6.1025710000000002</v>
      </c>
      <c r="BF35" s="8">
        <v>5.757701</v>
      </c>
      <c r="BG35" s="8">
        <v>6.3183259999999999</v>
      </c>
      <c r="BH35" s="8">
        <v>6.0531480000000002</v>
      </c>
      <c r="BI35" s="8">
        <v>6.2132680000000002</v>
      </c>
      <c r="BJ35" s="8">
        <v>6.1656589999999998</v>
      </c>
      <c r="BK35" s="8">
        <v>6.1323299999999996</v>
      </c>
      <c r="BL35" s="8">
        <v>6.1312470000000001</v>
      </c>
      <c r="BM35" s="8">
        <v>6.2362690000000001</v>
      </c>
      <c r="BN35" s="8">
        <v>6.3539450000000004</v>
      </c>
      <c r="BO35" s="8">
        <v>6.3895679999999997</v>
      </c>
      <c r="BP35" s="8">
        <v>6.3583980000000002</v>
      </c>
      <c r="BQ35" s="8">
        <v>6.5174269999999996</v>
      </c>
      <c r="BR35" s="8">
        <v>6.5480109999999998</v>
      </c>
      <c r="BS35" s="8">
        <v>6.6073639999999996</v>
      </c>
      <c r="BT35" s="8">
        <v>6.601953</v>
      </c>
      <c r="BU35" s="8">
        <v>6.5611100000000002</v>
      </c>
    </row>
    <row r="36" spans="1:73" x14ac:dyDescent="0.25">
      <c r="A36" s="9" t="s">
        <v>143</v>
      </c>
      <c r="B36" s="5" t="s">
        <v>144</v>
      </c>
      <c r="C36" s="3">
        <v>0.33733467028712999</v>
      </c>
      <c r="D36" s="3">
        <v>8.5810692703332508E-3</v>
      </c>
      <c r="E36" s="10">
        <v>2.1460863545228362E-3</v>
      </c>
      <c r="F36" s="2">
        <v>2.7026523109308202E-2</v>
      </c>
      <c r="G36" s="2">
        <v>8.2033687943262805</v>
      </c>
      <c r="H36" s="5">
        <v>7.9921932283816099</v>
      </c>
      <c r="I36" s="2">
        <f t="shared" si="0"/>
        <v>0.21117556594467057</v>
      </c>
      <c r="J36">
        <v>5</v>
      </c>
      <c r="K36">
        <v>3</v>
      </c>
      <c r="L36" s="5">
        <v>2.5997763035098299E-2</v>
      </c>
      <c r="M36" s="5">
        <v>8.0484169058641197E-2</v>
      </c>
      <c r="N36" s="6">
        <v>12.424803681223301</v>
      </c>
      <c r="O36" s="3">
        <v>6.8704287387282603</v>
      </c>
      <c r="P36" s="3" t="s">
        <v>75</v>
      </c>
      <c r="Q36" s="3">
        <v>0.33733467028712999</v>
      </c>
      <c r="R36" s="3">
        <v>0</v>
      </c>
      <c r="S36" s="3">
        <v>0</v>
      </c>
      <c r="T36" s="3">
        <v>0</v>
      </c>
      <c r="U36">
        <v>0</v>
      </c>
      <c r="V36" s="3">
        <f>G36+U36</f>
        <v>8.2033687943262805</v>
      </c>
      <c r="W36" s="7">
        <v>8.9380000000000006</v>
      </c>
      <c r="X36" s="7">
        <v>8.65</v>
      </c>
      <c r="Y36" s="7">
        <v>9.0738889999999994</v>
      </c>
      <c r="Z36" s="7">
        <v>9.1692309999999999</v>
      </c>
      <c r="AA36" s="7">
        <v>9.2390910000000002</v>
      </c>
      <c r="AB36" s="7">
        <v>8.1174999999999997</v>
      </c>
      <c r="AC36" s="7">
        <v>8.3028569999999995</v>
      </c>
      <c r="AD36" s="7">
        <v>8.6999999999999993</v>
      </c>
      <c r="AE36" s="7">
        <v>8.56</v>
      </c>
      <c r="AF36" s="7">
        <v>7.8595649999999999</v>
      </c>
      <c r="AG36" s="7">
        <v>6.7725999999999997</v>
      </c>
      <c r="AH36" s="7">
        <v>6.6886359999999998</v>
      </c>
      <c r="AI36" s="7">
        <v>8.5060000000000002</v>
      </c>
      <c r="AJ36" s="7">
        <v>8.7904</v>
      </c>
      <c r="AK36" s="7">
        <v>7.2925000000000004</v>
      </c>
      <c r="AL36" s="7">
        <v>8.4785710000000005</v>
      </c>
      <c r="AM36" s="7">
        <v>7.8624999999999998</v>
      </c>
      <c r="AN36" s="13">
        <v>5.3711513408636301E-3</v>
      </c>
      <c r="AO36" s="13">
        <v>2.1711962096115501E-3</v>
      </c>
      <c r="AP36" s="13">
        <v>2.3517227496187001E-3</v>
      </c>
      <c r="AQ36" s="13">
        <v>2.2791359169682299E-3</v>
      </c>
      <c r="AR36" s="13">
        <v>2.2147215979340098E-3</v>
      </c>
      <c r="AS36" s="13">
        <v>2.0097874514373899E-3</v>
      </c>
      <c r="AT36" s="13">
        <v>1.7957067786973399E-3</v>
      </c>
      <c r="AU36" s="13">
        <v>1.9618601408472598E-3</v>
      </c>
      <c r="AV36" s="13">
        <v>1.74648285159706E-3</v>
      </c>
      <c r="AW36" s="13">
        <v>1.72047760898175E-3</v>
      </c>
      <c r="AX36" s="13">
        <v>1.7134817571933499E-3</v>
      </c>
      <c r="AY36" s="13">
        <v>1.87791054989463E-3</v>
      </c>
      <c r="AZ36" s="13">
        <v>1.79851290163589E-3</v>
      </c>
      <c r="BA36" s="13">
        <v>1.95719145240765E-3</v>
      </c>
      <c r="BB36" s="13">
        <v>1.6298824039353E-3</v>
      </c>
      <c r="BC36" s="13">
        <v>1.9520677236114601E-3</v>
      </c>
      <c r="BD36" s="13">
        <v>1.9321785916529401E-3</v>
      </c>
      <c r="BE36" s="8">
        <v>8.062208</v>
      </c>
      <c r="BF36" s="8">
        <v>8.3053270000000001</v>
      </c>
      <c r="BG36" s="8">
        <v>8.2131439999999998</v>
      </c>
      <c r="BH36" s="8">
        <v>7.7338209999999998</v>
      </c>
      <c r="BI36" s="8">
        <v>7.8813069999999996</v>
      </c>
      <c r="BJ36" s="8">
        <v>8.0544569999999993</v>
      </c>
      <c r="BK36" s="8">
        <v>7.9658860000000002</v>
      </c>
      <c r="BL36" s="8">
        <v>7.7645730000000004</v>
      </c>
      <c r="BM36" s="8">
        <v>7.8657209999999997</v>
      </c>
      <c r="BN36" s="8">
        <v>7.9033740000000003</v>
      </c>
      <c r="BO36" s="8">
        <v>7.8883239999999999</v>
      </c>
      <c r="BP36" s="8">
        <v>7.8109349999999997</v>
      </c>
      <c r="BQ36" s="8">
        <v>8.1146709999999995</v>
      </c>
      <c r="BR36" s="8">
        <v>8.3017289999999999</v>
      </c>
      <c r="BS36" s="8">
        <v>8.0904980000000002</v>
      </c>
      <c r="BT36" s="8">
        <v>8.1347719999999999</v>
      </c>
      <c r="BU36" s="8">
        <v>8.1270089999999993</v>
      </c>
    </row>
    <row r="37" spans="1:73" x14ac:dyDescent="0.25">
      <c r="A37" s="9" t="s">
        <v>145</v>
      </c>
      <c r="B37" s="5" t="s">
        <v>146</v>
      </c>
      <c r="C37" s="3">
        <v>0.35251704208816498</v>
      </c>
      <c r="D37" s="3">
        <v>1.00873861409231E-2</v>
      </c>
      <c r="E37" s="10">
        <v>2.2426749468657452E-3</v>
      </c>
      <c r="F37" s="2">
        <v>1.3010596870922118E-2</v>
      </c>
      <c r="G37" s="2">
        <v>6.7608585858585801</v>
      </c>
      <c r="H37" s="5">
        <v>6.8412689257144299</v>
      </c>
      <c r="I37" s="2">
        <f t="shared" si="0"/>
        <v>-8.0410339855849777E-2</v>
      </c>
      <c r="J37">
        <v>4</v>
      </c>
      <c r="K37">
        <v>1</v>
      </c>
      <c r="L37" s="5">
        <v>4.9327238901076799E-2</v>
      </c>
      <c r="M37" s="5">
        <v>6.1275014779545701E-2</v>
      </c>
      <c r="N37" s="6">
        <v>16.3198655046887</v>
      </c>
      <c r="O37" s="3">
        <v>6.8024796427262499</v>
      </c>
      <c r="P37" s="3" t="s">
        <v>75</v>
      </c>
      <c r="Q37" s="3">
        <v>0.35251704208816498</v>
      </c>
      <c r="R37" s="3">
        <v>0</v>
      </c>
      <c r="S37" s="3">
        <v>0</v>
      </c>
      <c r="T37" s="3">
        <v>0</v>
      </c>
      <c r="U37">
        <v>0</v>
      </c>
      <c r="V37" s="3">
        <f>G37+U37</f>
        <v>6.7608585858585801</v>
      </c>
      <c r="W37" s="7">
        <v>7.3</v>
      </c>
      <c r="X37" s="7">
        <v>7.251538</v>
      </c>
      <c r="Y37" s="7">
        <v>8.65</v>
      </c>
      <c r="Z37" s="7">
        <v>7.03</v>
      </c>
      <c r="AA37" s="7">
        <v>9.4</v>
      </c>
      <c r="AB37" s="7">
        <v>6.1660000000000004</v>
      </c>
      <c r="AC37" s="7">
        <v>5.86</v>
      </c>
      <c r="AD37" s="7">
        <v>7.7021879999999996</v>
      </c>
      <c r="AE37" s="7">
        <v>6.2919999999999998</v>
      </c>
      <c r="AF37" s="7">
        <v>7.3378949999999996</v>
      </c>
      <c r="AG37" s="7">
        <v>6.7323079999999997</v>
      </c>
      <c r="AH37" s="7">
        <v>5.835</v>
      </c>
      <c r="AI37" s="7">
        <v>6.8673330000000004</v>
      </c>
      <c r="AJ37" s="7">
        <v>6.49</v>
      </c>
      <c r="AK37" s="7">
        <v>3.4942859999999998</v>
      </c>
      <c r="AL37" s="7">
        <v>6.7214289999999997</v>
      </c>
      <c r="AM37" s="7">
        <v>7.8142860000000001</v>
      </c>
      <c r="AN37" s="13">
        <v>5.6128899578495699E-3</v>
      </c>
      <c r="AO37" s="13">
        <v>2.2689149175026302E-3</v>
      </c>
      <c r="AP37" s="13">
        <v>2.4575663888962E-3</v>
      </c>
      <c r="AQ37" s="13">
        <v>2.38171265136393E-3</v>
      </c>
      <c r="AR37" s="13">
        <v>2.3143992465640599E-3</v>
      </c>
      <c r="AS37" s="13">
        <v>2.1002416591320901E-3</v>
      </c>
      <c r="AT37" s="13">
        <v>1.87652588909775E-3</v>
      </c>
      <c r="AU37" s="13">
        <v>2.05015729113609E-3</v>
      </c>
      <c r="AV37" s="13">
        <v>1.8250865479633701E-3</v>
      </c>
      <c r="AW37" s="13">
        <v>1.7979108912254101E-3</v>
      </c>
      <c r="AX37" s="13">
        <v>1.7906001781663799E-3</v>
      </c>
      <c r="AY37" s="13">
        <v>1.9624293933130001E-3</v>
      </c>
      <c r="AZ37" s="13">
        <v>1.87945830679793E-3</v>
      </c>
      <c r="BA37" s="13">
        <v>2.04527847972378E-3</v>
      </c>
      <c r="BB37" s="13">
        <v>1.7032382811341901E-3</v>
      </c>
      <c r="BC37" s="13">
        <v>2.0399241480206099E-3</v>
      </c>
      <c r="BD37" s="13">
        <v>2.0191398688306E-3</v>
      </c>
      <c r="BE37" s="8">
        <v>7.0148149999999996</v>
      </c>
      <c r="BF37" s="8">
        <v>7.1530849999999999</v>
      </c>
      <c r="BG37" s="8">
        <v>6.8906049999999999</v>
      </c>
      <c r="BH37" s="8">
        <v>6.7986339999999998</v>
      </c>
      <c r="BI37" s="8">
        <v>6.7211610000000004</v>
      </c>
      <c r="BJ37" s="8">
        <v>6.642055</v>
      </c>
      <c r="BK37" s="8">
        <v>6.9558819999999999</v>
      </c>
      <c r="BL37" s="8">
        <v>6.6773160000000003</v>
      </c>
      <c r="BM37" s="8">
        <v>6.6288780000000003</v>
      </c>
      <c r="BN37" s="8">
        <v>6.7114900000000004</v>
      </c>
      <c r="BO37" s="8">
        <v>6.6290430000000002</v>
      </c>
      <c r="BP37" s="8">
        <v>6.7976390000000002</v>
      </c>
      <c r="BQ37" s="8">
        <v>6.7926320000000002</v>
      </c>
      <c r="BR37" s="8">
        <v>7.4647889999999997</v>
      </c>
      <c r="BS37" s="8">
        <v>6.693333</v>
      </c>
      <c r="BT37" s="8">
        <v>7.059552</v>
      </c>
      <c r="BU37" s="8">
        <v>7.1336519999999997</v>
      </c>
    </row>
    <row r="38" spans="1:73" x14ac:dyDescent="0.25">
      <c r="A38" s="9" t="s">
        <v>147</v>
      </c>
      <c r="B38" s="5" t="s">
        <v>148</v>
      </c>
      <c r="C38" s="3">
        <v>0.224682718958268</v>
      </c>
      <c r="D38" s="3">
        <v>3.1837505522249301E-2</v>
      </c>
      <c r="E38" s="10">
        <v>1.429406935382606E-3</v>
      </c>
      <c r="F38" s="2">
        <v>2.9870829217866486E-3</v>
      </c>
      <c r="G38" s="2">
        <v>6.9741999999999997</v>
      </c>
      <c r="H38" s="5">
        <v>6.8621438082556701</v>
      </c>
      <c r="I38" s="2">
        <f t="shared" si="0"/>
        <v>0.11205619174432968</v>
      </c>
      <c r="J38">
        <v>6</v>
      </c>
      <c r="K38">
        <v>4</v>
      </c>
      <c r="L38" s="5">
        <v>0.154593427041574</v>
      </c>
      <c r="M38" s="5">
        <v>0.16758922344619101</v>
      </c>
      <c r="N38" s="6">
        <v>5.9669707839005302</v>
      </c>
      <c r="O38" s="3">
        <v>7.2246386823503697</v>
      </c>
      <c r="P38" s="3" t="s">
        <v>78</v>
      </c>
      <c r="Q38" s="3">
        <v>46.138326232556999</v>
      </c>
      <c r="R38" s="3">
        <v>5.0583676650410398E-3</v>
      </c>
      <c r="S38" s="3">
        <v>0</v>
      </c>
      <c r="T38" s="3">
        <v>3.6904858697927902E-2</v>
      </c>
      <c r="U38">
        <v>0</v>
      </c>
      <c r="V38" s="3">
        <f>G38+U38</f>
        <v>6.9741999999999997</v>
      </c>
      <c r="W38" s="7">
        <v>3.7</v>
      </c>
      <c r="X38" s="7">
        <v>9.5500000000000007</v>
      </c>
      <c r="Y38" s="7">
        <v>9.5500000000000007</v>
      </c>
      <c r="Z38" s="7">
        <v>0</v>
      </c>
      <c r="AA38" s="7">
        <v>5.2750000000000004</v>
      </c>
      <c r="AB38" s="7">
        <v>2.8</v>
      </c>
      <c r="AC38" s="7">
        <v>4.5999999999999996</v>
      </c>
      <c r="AD38" s="7">
        <v>4.87</v>
      </c>
      <c r="AE38" s="7">
        <v>0</v>
      </c>
      <c r="AF38" s="7">
        <v>0</v>
      </c>
      <c r="AG38" s="7">
        <v>2.71</v>
      </c>
      <c r="AH38" s="7">
        <v>7.4124999999999996</v>
      </c>
      <c r="AI38" s="7">
        <v>0</v>
      </c>
      <c r="AJ38" s="7">
        <v>8.3125</v>
      </c>
      <c r="AK38" s="7">
        <v>8.5</v>
      </c>
      <c r="AL38" s="7">
        <v>0</v>
      </c>
      <c r="AM38" s="7">
        <v>6.625</v>
      </c>
      <c r="AN38" s="13">
        <v>3.5774706648871498E-3</v>
      </c>
      <c r="AO38" s="13">
        <v>1.4461314259580299E-3</v>
      </c>
      <c r="AP38" s="13">
        <v>1.56637164264969E-3</v>
      </c>
      <c r="AQ38" s="13">
        <v>1.5180249758022101E-3</v>
      </c>
      <c r="AR38" s="13">
        <v>1.47512163495042E-3</v>
      </c>
      <c r="AS38" s="13">
        <v>1.3386246623651201E-3</v>
      </c>
      <c r="AT38" s="13">
        <v>1.19603561989668E-3</v>
      </c>
      <c r="AU38" s="13">
        <v>1.3067025404955299E-3</v>
      </c>
      <c r="AV38" s="13">
        <v>1.16324988290356E-3</v>
      </c>
      <c r="AW38" s="13">
        <v>1.14592901691311E-3</v>
      </c>
      <c r="AX38" s="13">
        <v>1.14126940988277E-3</v>
      </c>
      <c r="AY38" s="13">
        <v>1.2507876760832299E-3</v>
      </c>
      <c r="AZ38" s="13">
        <v>1.1979046460807599E-3</v>
      </c>
      <c r="BA38" s="13">
        <v>1.3035929472488899E-3</v>
      </c>
      <c r="BB38" s="13">
        <v>1.08558782228555E-3</v>
      </c>
      <c r="BC38" s="13">
        <v>1.3001802730753301E-3</v>
      </c>
      <c r="BD38" s="13">
        <v>1.2869330600261801E-3</v>
      </c>
      <c r="BE38" s="8">
        <v>6.94</v>
      </c>
      <c r="BF38" s="8">
        <v>6.9085000000000001</v>
      </c>
      <c r="BG38" s="8">
        <v>7.0518919999999996</v>
      </c>
      <c r="BH38" s="8">
        <v>8.75</v>
      </c>
      <c r="BI38" s="8">
        <v>6.5953569999999999</v>
      </c>
      <c r="BJ38" s="8">
        <v>5.8367649999999998</v>
      </c>
      <c r="BK38" s="8">
        <v>6.7843439999999999</v>
      </c>
      <c r="BL38" s="8">
        <v>6.2977780000000001</v>
      </c>
      <c r="BM38" s="8">
        <v>7.1375000000000002</v>
      </c>
      <c r="BN38" s="8">
        <v>6.7591960000000002</v>
      </c>
      <c r="BO38" s="8">
        <v>6.5504920000000002</v>
      </c>
      <c r="BP38" s="8">
        <v>6.5864289999999999</v>
      </c>
      <c r="BQ38" s="8">
        <v>7.1056410000000003</v>
      </c>
      <c r="BR38" s="8">
        <v>6.9542109999999999</v>
      </c>
      <c r="BS38" s="8">
        <v>7.2705169999999999</v>
      </c>
      <c r="BT38" s="8">
        <v>7.151154</v>
      </c>
      <c r="BU38" s="8">
        <v>6.9192309999999999</v>
      </c>
    </row>
    <row r="39" spans="1:73" x14ac:dyDescent="0.25">
      <c r="A39" s="9" t="s">
        <v>307</v>
      </c>
      <c r="B39" s="5" t="s">
        <v>149</v>
      </c>
      <c r="C39" s="3">
        <v>0.213576870694763</v>
      </c>
      <c r="D39" s="3">
        <v>1.0324529344759199E-2</v>
      </c>
      <c r="E39" s="10">
        <v>1.3587527408599311E-3</v>
      </c>
      <c r="F39" s="2">
        <v>8.6711932912776363E-3</v>
      </c>
      <c r="G39" s="2">
        <v>5.7688270142180098</v>
      </c>
      <c r="H39" s="5">
        <v>6.3910443322110098</v>
      </c>
      <c r="I39" s="2">
        <f t="shared" si="0"/>
        <v>-0.62221731799299995</v>
      </c>
      <c r="J39">
        <v>8</v>
      </c>
      <c r="K39">
        <v>2</v>
      </c>
      <c r="L39" s="5">
        <v>4.7320329016094197E-2</v>
      </c>
      <c r="M39" s="5">
        <v>6.6754373194201605E-2</v>
      </c>
      <c r="N39" s="6">
        <v>14.980291959162001</v>
      </c>
      <c r="O39" s="3">
        <v>6.4495691216295601</v>
      </c>
      <c r="P39" s="3" t="s">
        <v>105</v>
      </c>
      <c r="Q39" s="3">
        <v>40.371017729586399</v>
      </c>
      <c r="R39" s="3">
        <v>5.2866359615513104E-3</v>
      </c>
      <c r="S39" s="3">
        <v>0</v>
      </c>
      <c r="T39" s="3">
        <v>2.7942283702671702E-4</v>
      </c>
      <c r="U39">
        <v>0</v>
      </c>
      <c r="V39" s="3">
        <f>G39+U39</f>
        <v>5.7688270142180098</v>
      </c>
      <c r="W39" s="7">
        <v>5.9649999999999999</v>
      </c>
      <c r="X39" s="7">
        <v>4.8372729999999997</v>
      </c>
      <c r="Y39" s="7">
        <v>5.593</v>
      </c>
      <c r="Z39" s="7">
        <v>5.59</v>
      </c>
      <c r="AA39" s="7">
        <v>4.6539999999999999</v>
      </c>
      <c r="AB39" s="7">
        <v>4.8981250000000003</v>
      </c>
      <c r="AC39" s="7">
        <v>5.1268750000000001</v>
      </c>
      <c r="AD39" s="7">
        <v>4.7521430000000002</v>
      </c>
      <c r="AE39" s="7">
        <v>7.5460710000000004</v>
      </c>
      <c r="AF39" s="7">
        <v>5.3292859999999997</v>
      </c>
      <c r="AG39" s="7">
        <v>5.8921429999999999</v>
      </c>
      <c r="AH39" s="7">
        <v>6.3866670000000001</v>
      </c>
      <c r="AI39" s="7">
        <v>5.7249999999999996</v>
      </c>
      <c r="AJ39" s="7">
        <v>6.9625000000000004</v>
      </c>
      <c r="AK39" s="7">
        <v>6.4642860000000004</v>
      </c>
      <c r="AL39" s="7">
        <v>6.8984620000000003</v>
      </c>
      <c r="AM39" s="7">
        <v>6.3925000000000001</v>
      </c>
      <c r="AN39" s="13">
        <v>3.4006397695001498E-3</v>
      </c>
      <c r="AO39" s="13">
        <v>1.37465055613306E-3</v>
      </c>
      <c r="AP39" s="13">
        <v>1.4889474158636699E-3</v>
      </c>
      <c r="AQ39" s="13">
        <v>1.4429904777347299E-3</v>
      </c>
      <c r="AR39" s="13">
        <v>1.40220780729189E-3</v>
      </c>
      <c r="AS39" s="13">
        <v>1.27245774729955E-3</v>
      </c>
      <c r="AT39" s="13">
        <v>1.13691674251303E-3</v>
      </c>
      <c r="AU39" s="13">
        <v>1.24211350486535E-3</v>
      </c>
      <c r="AV39" s="13">
        <v>1.10575157261088E-3</v>
      </c>
      <c r="AW39" s="13">
        <v>1.08928686017942E-3</v>
      </c>
      <c r="AX39" s="13">
        <v>1.0848575729925001E-3</v>
      </c>
      <c r="AY39" s="13">
        <v>1.1889624578161201E-3</v>
      </c>
      <c r="AZ39" s="13">
        <v>1.1386933845507099E-3</v>
      </c>
      <c r="BA39" s="13">
        <v>1.23915761578839E-3</v>
      </c>
      <c r="BB39" s="13">
        <v>1.0319282721122599E-3</v>
      </c>
      <c r="BC39" s="13">
        <v>1.2359136267799499E-3</v>
      </c>
      <c r="BD39" s="13">
        <v>1.22332121058709E-3</v>
      </c>
      <c r="BE39" s="8">
        <v>6.1757739999999997</v>
      </c>
      <c r="BF39" s="8">
        <v>5.9469139999999996</v>
      </c>
      <c r="BG39" s="8">
        <v>6.3863399999999997</v>
      </c>
      <c r="BH39" s="8">
        <v>6.5757969999999997</v>
      </c>
      <c r="BI39" s="8">
        <v>6.1648860000000001</v>
      </c>
      <c r="BJ39" s="8">
        <v>6.3363820000000004</v>
      </c>
      <c r="BK39" s="8">
        <v>6.5020569999999998</v>
      </c>
      <c r="BL39" s="8">
        <v>6.4998519999999997</v>
      </c>
      <c r="BM39" s="8">
        <v>6.5391820000000003</v>
      </c>
      <c r="BN39" s="8">
        <v>6.2489319999999999</v>
      </c>
      <c r="BO39" s="8">
        <v>6.6807689999999997</v>
      </c>
      <c r="BP39" s="8">
        <v>6.5318189999999996</v>
      </c>
      <c r="BQ39" s="8">
        <v>6.1151989999999996</v>
      </c>
      <c r="BR39" s="8">
        <v>6.2273110000000003</v>
      </c>
      <c r="BS39" s="8">
        <v>6.5103489999999997</v>
      </c>
      <c r="BT39" s="8">
        <v>5.897011</v>
      </c>
      <c r="BU39" s="8">
        <v>6.5188119999999996</v>
      </c>
    </row>
    <row r="40" spans="1:73" x14ac:dyDescent="0.25">
      <c r="A40" s="9" t="s">
        <v>150</v>
      </c>
      <c r="B40" s="5" t="s">
        <v>151</v>
      </c>
      <c r="C40" s="3">
        <v>0.53306913003756096</v>
      </c>
      <c r="D40" s="3">
        <v>1.55089977674072E-2</v>
      </c>
      <c r="E40" s="10">
        <v>3.3913276243358469E-3</v>
      </c>
      <c r="F40" s="2">
        <v>2.4763559332799851E-2</v>
      </c>
      <c r="G40" s="2">
        <v>8.3393705035971202</v>
      </c>
      <c r="H40" s="5">
        <v>8.5225689981107298</v>
      </c>
      <c r="I40" s="2">
        <f t="shared" si="0"/>
        <v>-0.18319849451360959</v>
      </c>
      <c r="J40">
        <v>4</v>
      </c>
      <c r="K40">
        <v>1</v>
      </c>
      <c r="L40" s="5">
        <v>2.37697828328115E-2</v>
      </c>
      <c r="M40" s="5">
        <v>5.4698603736389698E-2</v>
      </c>
      <c r="N40" s="6">
        <v>18.282002312514699</v>
      </c>
      <c r="O40" s="3">
        <v>7.1181111268926403</v>
      </c>
      <c r="P40" s="3" t="s">
        <v>75</v>
      </c>
      <c r="Q40" s="3">
        <v>0.53306913003756096</v>
      </c>
      <c r="R40" s="3">
        <v>0</v>
      </c>
      <c r="S40" s="3">
        <v>0</v>
      </c>
      <c r="T40" s="3">
        <v>0</v>
      </c>
      <c r="U40">
        <v>0</v>
      </c>
      <c r="V40" s="3">
        <f>G40+U40</f>
        <v>8.3393705035971202</v>
      </c>
      <c r="W40" s="7">
        <v>8.5779999999999994</v>
      </c>
      <c r="X40" s="7">
        <v>8.4700000000000006</v>
      </c>
      <c r="Y40" s="7">
        <v>8.2207690000000007</v>
      </c>
      <c r="Z40" s="7">
        <v>7.5250000000000004</v>
      </c>
      <c r="AA40" s="7">
        <v>6.6924999999999999</v>
      </c>
      <c r="AB40" s="7">
        <v>6.7869999999999999</v>
      </c>
      <c r="AC40" s="7">
        <v>7.86</v>
      </c>
      <c r="AD40" s="7">
        <v>8.4390630000000009</v>
      </c>
      <c r="AE40" s="7">
        <v>9.0142860000000002</v>
      </c>
      <c r="AF40" s="7">
        <v>8.5441179999999992</v>
      </c>
      <c r="AG40" s="7">
        <v>8.2128569999999996</v>
      </c>
      <c r="AH40" s="7">
        <v>8.3419229999999995</v>
      </c>
      <c r="AI40" s="7">
        <v>8.35</v>
      </c>
      <c r="AJ40" s="7">
        <v>8.5696429999999992</v>
      </c>
      <c r="AK40" s="7">
        <v>8.5070589999999999</v>
      </c>
      <c r="AL40" s="7">
        <v>8.9546150000000004</v>
      </c>
      <c r="AM40" s="7">
        <v>8.9559999999999995</v>
      </c>
      <c r="AN40" s="13">
        <v>8.4876984928266702E-3</v>
      </c>
      <c r="AO40" s="13">
        <v>3.4310071763846098E-3</v>
      </c>
      <c r="AP40" s="13">
        <v>3.71628210987542E-3</v>
      </c>
      <c r="AQ40" s="13">
        <v>3.6015776245634399E-3</v>
      </c>
      <c r="AR40" s="13">
        <v>3.4997876574061801E-3</v>
      </c>
      <c r="AS40" s="13">
        <v>3.1759428919245899E-3</v>
      </c>
      <c r="AT40" s="13">
        <v>2.8376444363337099E-3</v>
      </c>
      <c r="AU40" s="13">
        <v>3.1002063252100801E-3</v>
      </c>
      <c r="AV40" s="13">
        <v>2.7598589066873199E-3</v>
      </c>
      <c r="AW40" s="13">
        <v>2.7187644290708802E-3</v>
      </c>
      <c r="AX40" s="13">
        <v>2.7077093168775901E-3</v>
      </c>
      <c r="AY40" s="13">
        <v>2.9675459752435702E-3</v>
      </c>
      <c r="AZ40" s="13">
        <v>2.8420787789773501E-3</v>
      </c>
      <c r="BA40" s="13">
        <v>3.0928286854234499E-3</v>
      </c>
      <c r="BB40" s="13">
        <v>2.5756024258929201E-3</v>
      </c>
      <c r="BC40" s="13">
        <v>3.0847319734856899E-3</v>
      </c>
      <c r="BD40" s="13">
        <v>3.0533024075258498E-3</v>
      </c>
      <c r="BE40" s="8">
        <v>8.7749819999999996</v>
      </c>
      <c r="BF40" s="8">
        <v>8.7017070000000007</v>
      </c>
      <c r="BG40" s="8">
        <v>8.7625530000000005</v>
      </c>
      <c r="BH40" s="8">
        <v>8.7588010000000001</v>
      </c>
      <c r="BI40" s="8">
        <v>8.6280640000000002</v>
      </c>
      <c r="BJ40" s="8">
        <v>8.3923900000000007</v>
      </c>
      <c r="BK40" s="8">
        <v>8.3172169999999994</v>
      </c>
      <c r="BL40" s="8">
        <v>8.5236269999999994</v>
      </c>
      <c r="BM40" s="8">
        <v>8.2988630000000008</v>
      </c>
      <c r="BN40" s="8">
        <v>8.4246040000000004</v>
      </c>
      <c r="BO40" s="8">
        <v>8.6270579999999999</v>
      </c>
      <c r="BP40" s="8">
        <v>8.3960989999999995</v>
      </c>
      <c r="BQ40" s="8">
        <v>8.5776179999999993</v>
      </c>
      <c r="BR40" s="8">
        <v>8.6779899999999994</v>
      </c>
      <c r="BS40" s="8">
        <v>8.5191999999999997</v>
      </c>
      <c r="BT40" s="8">
        <v>8.6869669999999992</v>
      </c>
      <c r="BU40" s="8">
        <v>8.4942659999999997</v>
      </c>
    </row>
    <row r="41" spans="1:73" x14ac:dyDescent="0.25">
      <c r="A41" s="9" t="s">
        <v>152</v>
      </c>
      <c r="B41" s="5" t="s">
        <v>153</v>
      </c>
      <c r="C41" s="3">
        <v>0.47542098523413001</v>
      </c>
      <c r="D41" s="3">
        <v>5.1943533883591402E-2</v>
      </c>
      <c r="E41" s="10">
        <v>3.700458646600947E-3</v>
      </c>
      <c r="F41" s="2">
        <v>1.4083500979719138E-3</v>
      </c>
      <c r="G41" s="2">
        <v>4.9115384615384601</v>
      </c>
      <c r="H41" s="5">
        <v>5.3615173116089601</v>
      </c>
      <c r="I41" s="2">
        <f t="shared" si="0"/>
        <v>-0.44997885007049998</v>
      </c>
      <c r="J41">
        <v>3</v>
      </c>
      <c r="K41">
        <v>2</v>
      </c>
      <c r="L41" s="5">
        <v>0.24916366569909201</v>
      </c>
      <c r="M41" s="5">
        <v>9.4927250813925695E-2</v>
      </c>
      <c r="N41" s="6">
        <v>10.534382818693199</v>
      </c>
      <c r="O41" s="3">
        <v>6.6219798289607796</v>
      </c>
      <c r="P41" s="3" t="s">
        <v>78</v>
      </c>
      <c r="Q41" s="3">
        <v>75.073489240050094</v>
      </c>
      <c r="R41" s="3">
        <v>6.4843476487661204E-3</v>
      </c>
      <c r="S41" s="3">
        <v>0</v>
      </c>
      <c r="T41" s="3">
        <v>1.5708046962262599E-2</v>
      </c>
      <c r="U41">
        <v>3.1043435736486402</v>
      </c>
      <c r="V41" s="3">
        <f>G41+U41</f>
        <v>8.0158820351871007</v>
      </c>
      <c r="W41" s="7">
        <v>9.5500000000000007</v>
      </c>
      <c r="X41" s="7">
        <v>0</v>
      </c>
      <c r="Y41" s="7">
        <v>3.7</v>
      </c>
      <c r="Z41" s="7">
        <v>3.61</v>
      </c>
      <c r="AA41" s="7">
        <v>9.5500000000000007</v>
      </c>
      <c r="AB41" s="7">
        <v>3.61</v>
      </c>
      <c r="AC41" s="7">
        <v>3.61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5.5</v>
      </c>
      <c r="AM41" s="7">
        <v>4.5999999999999996</v>
      </c>
      <c r="AN41" s="13">
        <v>9.2613810155464504E-3</v>
      </c>
      <c r="AO41" s="13">
        <v>3.7437551244813099E-3</v>
      </c>
      <c r="AP41" s="13">
        <v>4.05503383631066E-3</v>
      </c>
      <c r="AQ41" s="13">
        <v>3.9298736478845199E-3</v>
      </c>
      <c r="AR41" s="13">
        <v>3.8188051797715199E-3</v>
      </c>
      <c r="AS41" s="13">
        <v>3.4654408648691799E-3</v>
      </c>
      <c r="AT41" s="13">
        <v>3.09630535695193E-3</v>
      </c>
      <c r="AU41" s="13">
        <v>3.3828006530679301E-3</v>
      </c>
      <c r="AV41" s="13">
        <v>3.0114294122938899E-3</v>
      </c>
      <c r="AW41" s="13">
        <v>2.9665890335784698E-3</v>
      </c>
      <c r="AX41" s="13">
        <v>2.95452621039051E-3</v>
      </c>
      <c r="AY41" s="13">
        <v>3.2380478619863399E-3</v>
      </c>
      <c r="AZ41" s="13">
        <v>3.10114390497658E-3</v>
      </c>
      <c r="BA41" s="13">
        <v>3.3747505163769002E-3</v>
      </c>
      <c r="BB41" s="13">
        <v>2.81037732795525E-3</v>
      </c>
      <c r="BC41" s="13">
        <v>3.3659157616678201E-3</v>
      </c>
      <c r="BD41" s="13">
        <v>3.3316212841067601E-3</v>
      </c>
      <c r="BE41" s="8">
        <v>5.3019999999999996</v>
      </c>
      <c r="BF41" s="8">
        <v>5.9459090000000003</v>
      </c>
      <c r="BG41" s="8">
        <v>5.3746429999999998</v>
      </c>
      <c r="BH41" s="8">
        <v>5.4055</v>
      </c>
      <c r="BI41" s="8">
        <v>5.7249999999999996</v>
      </c>
      <c r="BJ41" s="8">
        <v>5.0846429999999998</v>
      </c>
      <c r="BK41" s="8">
        <v>5.5102270000000004</v>
      </c>
      <c r="BL41" s="8">
        <v>5.2473470000000004</v>
      </c>
      <c r="BM41" s="8">
        <v>4.915</v>
      </c>
      <c r="BN41" s="8">
        <v>5.0864289999999999</v>
      </c>
      <c r="BO41" s="8">
        <v>5.2054289999999996</v>
      </c>
      <c r="BP41" s="8">
        <v>5.3404550000000004</v>
      </c>
      <c r="BQ41" s="8">
        <v>6.3658619999999999</v>
      </c>
      <c r="BR41" s="8">
        <v>5.9235290000000003</v>
      </c>
      <c r="BS41" s="8">
        <v>5.4219999999999997</v>
      </c>
      <c r="BT41" s="8">
        <v>5.274286</v>
      </c>
      <c r="BU41" s="8">
        <v>4.9728570000000003</v>
      </c>
    </row>
    <row r="42" spans="1:73" x14ac:dyDescent="0.25">
      <c r="A42" s="9" t="s">
        <v>154</v>
      </c>
      <c r="B42" s="5" t="s">
        <v>155</v>
      </c>
      <c r="C42" s="3">
        <v>0.31915287218514599</v>
      </c>
      <c r="D42" s="3">
        <v>1.6033822691247201E-2</v>
      </c>
      <c r="E42" s="10">
        <v>2.0304157394207931E-3</v>
      </c>
      <c r="F42" s="2">
        <v>3.7902850410558631E-3</v>
      </c>
      <c r="G42" s="2">
        <v>5.4625000000000004</v>
      </c>
      <c r="H42" s="5">
        <v>5.9342427594528901</v>
      </c>
      <c r="I42" s="2">
        <f t="shared" si="0"/>
        <v>-0.47174275945288979</v>
      </c>
      <c r="J42">
        <v>7</v>
      </c>
      <c r="K42">
        <v>4</v>
      </c>
      <c r="L42" s="5">
        <v>6.0472736415520902E-2</v>
      </c>
      <c r="M42" s="5">
        <v>8.5571824318637399E-2</v>
      </c>
      <c r="N42" s="6">
        <v>11.686089527276801</v>
      </c>
      <c r="O42" s="3">
        <v>6.44847612780893</v>
      </c>
      <c r="P42" s="3" t="s">
        <v>75</v>
      </c>
      <c r="Q42" s="3">
        <v>0.31915287218514599</v>
      </c>
      <c r="R42" s="3">
        <v>0</v>
      </c>
      <c r="S42" s="3">
        <v>0</v>
      </c>
      <c r="T42" s="3">
        <v>0</v>
      </c>
      <c r="U42">
        <v>0</v>
      </c>
      <c r="V42" s="3">
        <f>G42+U42</f>
        <v>5.4625000000000004</v>
      </c>
      <c r="W42" s="7">
        <v>7.03</v>
      </c>
      <c r="X42" s="7">
        <v>5.14</v>
      </c>
      <c r="Y42" s="7">
        <v>5.3650000000000002</v>
      </c>
      <c r="Z42" s="7">
        <v>4.5250000000000004</v>
      </c>
      <c r="AA42" s="7">
        <v>0</v>
      </c>
      <c r="AB42" s="7">
        <v>4.87</v>
      </c>
      <c r="AC42" s="7">
        <v>4.4050000000000002</v>
      </c>
      <c r="AD42" s="7">
        <v>6.2762500000000001</v>
      </c>
      <c r="AE42" s="7">
        <v>6.82</v>
      </c>
      <c r="AF42" s="7">
        <v>5.2428569999999999</v>
      </c>
      <c r="AG42" s="7">
        <v>4.8159999999999998</v>
      </c>
      <c r="AH42" s="7">
        <v>6.2380000000000004</v>
      </c>
      <c r="AI42" s="7">
        <v>3.7</v>
      </c>
      <c r="AJ42" s="7">
        <v>4.1500000000000004</v>
      </c>
      <c r="AK42" s="7">
        <v>9.5500000000000007</v>
      </c>
      <c r="AL42" s="7">
        <v>4.42</v>
      </c>
      <c r="AM42" s="7">
        <v>9.5500000000000007</v>
      </c>
      <c r="AN42" s="13">
        <v>5.0816548916203302E-3</v>
      </c>
      <c r="AO42" s="13">
        <v>2.0541722135623201E-3</v>
      </c>
      <c r="AP42" s="13">
        <v>2.2249686623823802E-3</v>
      </c>
      <c r="AQ42" s="13">
        <v>2.15629414368111E-3</v>
      </c>
      <c r="AR42" s="13">
        <v>2.0953516532097802E-3</v>
      </c>
      <c r="AS42" s="13">
        <v>1.9014631287733899E-3</v>
      </c>
      <c r="AT42" s="13">
        <v>1.6989210611994901E-3</v>
      </c>
      <c r="AU42" s="13">
        <v>1.85611902341379E-3</v>
      </c>
      <c r="AV42" s="13">
        <v>1.65235022488162E-3</v>
      </c>
      <c r="AW42" s="13">
        <v>1.6277466231661901E-3</v>
      </c>
      <c r="AX42" s="13">
        <v>1.6211278365773499E-3</v>
      </c>
      <c r="AY42" s="13">
        <v>1.77669418087241E-3</v>
      </c>
      <c r="AZ42" s="13">
        <v>1.70157593860887E-3</v>
      </c>
      <c r="BA42" s="13">
        <v>1.8517019697988301E-3</v>
      </c>
      <c r="BB42" s="13">
        <v>1.54203435448013E-3</v>
      </c>
      <c r="BC42" s="13">
        <v>1.84685440177326E-3</v>
      </c>
      <c r="BD42" s="13">
        <v>1.82803726215216E-3</v>
      </c>
      <c r="BE42" s="8">
        <v>5.6380410000000003</v>
      </c>
      <c r="BF42" s="8">
        <v>6.1977469999999997</v>
      </c>
      <c r="BG42" s="8">
        <v>6.0971109999999999</v>
      </c>
      <c r="BH42" s="8">
        <v>5.8139019999999997</v>
      </c>
      <c r="BI42" s="8">
        <v>5.9313459999999996</v>
      </c>
      <c r="BJ42" s="8">
        <v>6.0361539999999998</v>
      </c>
      <c r="BK42" s="8">
        <v>5.8312270000000002</v>
      </c>
      <c r="BL42" s="8">
        <v>5.9936480000000003</v>
      </c>
      <c r="BM42" s="8">
        <v>5.7011560000000001</v>
      </c>
      <c r="BN42" s="8">
        <v>5.765142</v>
      </c>
      <c r="BO42" s="8">
        <v>5.9487779999999999</v>
      </c>
      <c r="BP42" s="8">
        <v>6.1937150000000001</v>
      </c>
      <c r="BQ42" s="8">
        <v>5.77</v>
      </c>
      <c r="BR42" s="8">
        <v>6.1222919999999998</v>
      </c>
      <c r="BS42" s="8">
        <v>6.2274050000000001</v>
      </c>
      <c r="BT42" s="8">
        <v>5.915</v>
      </c>
      <c r="BU42" s="8">
        <v>5.5114000000000001</v>
      </c>
    </row>
    <row r="43" spans="1:73" x14ac:dyDescent="0.25">
      <c r="A43" s="9" t="s">
        <v>156</v>
      </c>
      <c r="B43" s="5" t="s">
        <v>157</v>
      </c>
      <c r="C43" s="3">
        <v>0.276134121618825</v>
      </c>
      <c r="D43" s="3">
        <v>4.60224931362508E-2</v>
      </c>
      <c r="E43" s="10">
        <v>1.7567351435294159E-3</v>
      </c>
      <c r="F43" s="2">
        <v>2.8666282605059323E-3</v>
      </c>
      <c r="G43" s="2">
        <v>6.46882352941177</v>
      </c>
      <c r="H43" s="5">
        <v>6.9703352769679601</v>
      </c>
      <c r="I43" s="2">
        <f t="shared" si="0"/>
        <v>-0.5015117475561901</v>
      </c>
      <c r="J43">
        <v>7</v>
      </c>
      <c r="K43">
        <v>4</v>
      </c>
      <c r="L43" s="5">
        <v>0.151944147753692</v>
      </c>
      <c r="M43" s="5">
        <v>0.14146126630921099</v>
      </c>
      <c r="N43" s="6">
        <v>7.0690728712562603</v>
      </c>
      <c r="O43" s="3">
        <v>6.9754267371284904</v>
      </c>
      <c r="P43" s="3" t="s">
        <v>75</v>
      </c>
      <c r="Q43" s="3">
        <v>0.276134121618825</v>
      </c>
      <c r="R43" s="3">
        <v>0</v>
      </c>
      <c r="S43" s="3">
        <v>0</v>
      </c>
      <c r="T43" s="3">
        <v>0</v>
      </c>
      <c r="U43">
        <v>0</v>
      </c>
      <c r="V43" s="3">
        <f>G43+U43</f>
        <v>6.46882352941177</v>
      </c>
      <c r="W43" s="7">
        <v>0</v>
      </c>
      <c r="X43" s="7">
        <v>9.5500000000000007</v>
      </c>
      <c r="Y43" s="7">
        <v>0</v>
      </c>
      <c r="Z43" s="7">
        <v>0</v>
      </c>
      <c r="AA43" s="7">
        <v>0</v>
      </c>
      <c r="AB43" s="7">
        <v>8.65</v>
      </c>
      <c r="AC43" s="7">
        <v>0</v>
      </c>
      <c r="AD43" s="7">
        <v>5.05</v>
      </c>
      <c r="AE43" s="7">
        <v>0</v>
      </c>
      <c r="AF43" s="7">
        <v>5.95</v>
      </c>
      <c r="AG43" s="7">
        <v>0</v>
      </c>
      <c r="AH43" s="7">
        <v>5.95</v>
      </c>
      <c r="AI43" s="7">
        <v>5.5</v>
      </c>
      <c r="AJ43" s="7">
        <v>4.42</v>
      </c>
      <c r="AK43" s="7">
        <v>6.625</v>
      </c>
      <c r="AL43" s="7">
        <v>7.5250000000000004</v>
      </c>
      <c r="AM43" s="7">
        <v>0</v>
      </c>
      <c r="AN43" s="13">
        <v>4.3966964804676902E-3</v>
      </c>
      <c r="AO43" s="13">
        <v>1.7772894724781599E-3</v>
      </c>
      <c r="AP43" s="13">
        <v>1.9250641957561799E-3</v>
      </c>
      <c r="AQ43" s="13">
        <v>1.8656463444633601E-3</v>
      </c>
      <c r="AR43" s="13">
        <v>1.8129183180466001E-3</v>
      </c>
      <c r="AS43" s="13">
        <v>1.6451641097869501E-3</v>
      </c>
      <c r="AT43" s="13">
        <v>1.46992277312765E-3</v>
      </c>
      <c r="AU43" s="13">
        <v>1.60593195555835E-3</v>
      </c>
      <c r="AV43" s="13">
        <v>1.4296292395252601E-3</v>
      </c>
      <c r="AW43" s="13">
        <v>1.4083419676864299E-3</v>
      </c>
      <c r="AX43" s="13">
        <v>1.4026153301400499E-3</v>
      </c>
      <c r="AY43" s="13">
        <v>1.5372128211206301E-3</v>
      </c>
      <c r="AZ43" s="13">
        <v>1.4722197984886401E-3</v>
      </c>
      <c r="BA43" s="13">
        <v>1.60211027846751E-3</v>
      </c>
      <c r="BB43" s="13">
        <v>1.3341828919321199E-3</v>
      </c>
      <c r="BC43" s="13">
        <v>1.5979161161854499E-3</v>
      </c>
      <c r="BD43" s="13">
        <v>1.5816353467689699E-3</v>
      </c>
      <c r="BE43" s="8">
        <v>6.4331579999999997</v>
      </c>
      <c r="BF43" s="8">
        <v>6.9727030000000001</v>
      </c>
      <c r="BG43" s="8">
        <v>7.1086960000000001</v>
      </c>
      <c r="BH43" s="8">
        <v>7.1941179999999996</v>
      </c>
      <c r="BI43" s="8">
        <v>7.8159999999999998</v>
      </c>
      <c r="BJ43" s="8">
        <v>7.048</v>
      </c>
      <c r="BK43" s="8">
        <v>7.1607139999999996</v>
      </c>
      <c r="BL43" s="8">
        <v>6.9961479999999998</v>
      </c>
      <c r="BM43" s="8">
        <v>6.8534379999999997</v>
      </c>
      <c r="BN43" s="8">
        <v>6.5004350000000004</v>
      </c>
      <c r="BO43" s="8">
        <v>6.7511219999999996</v>
      </c>
      <c r="BP43" s="8">
        <v>7.3020490000000002</v>
      </c>
      <c r="BQ43" s="8">
        <v>7.3718750000000002</v>
      </c>
      <c r="BR43" s="8">
        <v>6.39</v>
      </c>
      <c r="BS43" s="8">
        <v>7.258</v>
      </c>
      <c r="BT43" s="8">
        <v>7.1168969999999998</v>
      </c>
      <c r="BU43" s="8">
        <v>6.6657690000000001</v>
      </c>
    </row>
    <row r="44" spans="1:73" x14ac:dyDescent="0.25">
      <c r="A44" s="9" t="s">
        <v>158</v>
      </c>
      <c r="B44" s="5" t="s">
        <v>159</v>
      </c>
      <c r="C44" s="3">
        <v>0.30399053446906399</v>
      </c>
      <c r="D44" s="3">
        <v>3.1557410312097502E-2</v>
      </c>
      <c r="E44" s="10">
        <v>1.9339546017397671E-3</v>
      </c>
      <c r="F44" s="2">
        <v>2.7046063455018351E-3</v>
      </c>
      <c r="G44" s="2">
        <v>5.92</v>
      </c>
      <c r="H44" s="5">
        <v>5.8638427947598304</v>
      </c>
      <c r="I44" s="2">
        <f t="shared" si="0"/>
        <v>5.6157205240169539E-2</v>
      </c>
      <c r="J44">
        <v>6</v>
      </c>
      <c r="K44">
        <v>4</v>
      </c>
      <c r="L44" s="5">
        <v>0.102495331816394</v>
      </c>
      <c r="M44" s="5">
        <v>6.5344124300657905E-2</v>
      </c>
      <c r="N44" s="6">
        <v>15.303594786868</v>
      </c>
      <c r="O44" s="3">
        <v>6.6197270926170901</v>
      </c>
      <c r="P44" s="3" t="s">
        <v>75</v>
      </c>
      <c r="Q44" s="3">
        <v>0.30399053446906399</v>
      </c>
      <c r="R44" s="3">
        <v>0</v>
      </c>
      <c r="S44" s="3">
        <v>0</v>
      </c>
      <c r="T44" s="3">
        <v>0</v>
      </c>
      <c r="U44">
        <v>0</v>
      </c>
      <c r="V44" s="3">
        <f>G44+U44</f>
        <v>5.92</v>
      </c>
      <c r="W44" s="7">
        <v>5.5</v>
      </c>
      <c r="X44" s="7">
        <v>5.5</v>
      </c>
      <c r="Y44" s="7">
        <v>6.85</v>
      </c>
      <c r="Z44" s="7">
        <v>0</v>
      </c>
      <c r="AA44" s="7">
        <v>0</v>
      </c>
      <c r="AB44" s="7">
        <v>6.85</v>
      </c>
      <c r="AC44" s="7">
        <v>7.5250000000000004</v>
      </c>
      <c r="AD44" s="7">
        <v>3.7</v>
      </c>
      <c r="AE44" s="7">
        <v>3.7</v>
      </c>
      <c r="AF44" s="7">
        <v>0</v>
      </c>
      <c r="AG44" s="7">
        <v>4.3</v>
      </c>
      <c r="AH44" s="7">
        <v>5.05</v>
      </c>
      <c r="AI44" s="7">
        <v>5.3875000000000002</v>
      </c>
      <c r="AJ44" s="7">
        <v>6.85</v>
      </c>
      <c r="AK44" s="7">
        <v>5.95</v>
      </c>
      <c r="AL44" s="7">
        <v>9.5500000000000007</v>
      </c>
      <c r="AM44" s="7">
        <v>3.7</v>
      </c>
      <c r="AN44" s="13">
        <v>4.8402352637918504E-3</v>
      </c>
      <c r="AO44" s="13">
        <v>1.9565824515909601E-3</v>
      </c>
      <c r="AP44" s="13">
        <v>2.11926469037749E-3</v>
      </c>
      <c r="AQ44" s="13">
        <v>2.0538527656735902E-3</v>
      </c>
      <c r="AR44" s="13">
        <v>1.99580553544373E-3</v>
      </c>
      <c r="AS44" s="13">
        <v>1.81112828103806E-3</v>
      </c>
      <c r="AT44" s="13">
        <v>1.6182085966476201E-3</v>
      </c>
      <c r="AU44" s="13">
        <v>1.76793838671277E-3</v>
      </c>
      <c r="AV44" s="13">
        <v>1.57385025098709E-3</v>
      </c>
      <c r="AW44" s="13">
        <v>1.5504155189599901E-3</v>
      </c>
      <c r="AX44" s="13">
        <v>1.5441111781627399E-3</v>
      </c>
      <c r="AY44" s="13">
        <v>1.6922868653306701E-3</v>
      </c>
      <c r="AZ44" s="13">
        <v>1.6207373459491701E-3</v>
      </c>
      <c r="BA44" s="13">
        <v>1.7637311788001699E-3</v>
      </c>
      <c r="BB44" s="13">
        <v>1.4687752749288599E-3</v>
      </c>
      <c r="BC44" s="13">
        <v>1.75911390938667E-3</v>
      </c>
      <c r="BD44" s="13">
        <v>1.74119073579455E-3</v>
      </c>
      <c r="BE44" s="8">
        <v>5.6529999999999996</v>
      </c>
      <c r="BF44" s="8">
        <v>5.9993550000000004</v>
      </c>
      <c r="BG44" s="8">
        <v>5.9591839999999996</v>
      </c>
      <c r="BH44" s="8">
        <v>6.0464289999999998</v>
      </c>
      <c r="BI44" s="8">
        <v>5.7895649999999996</v>
      </c>
      <c r="BJ44" s="8">
        <v>6.2001999999999997</v>
      </c>
      <c r="BK44" s="8">
        <v>6.2222780000000002</v>
      </c>
      <c r="BL44" s="8">
        <v>5.7606900000000003</v>
      </c>
      <c r="BM44" s="8">
        <v>5.4287970000000003</v>
      </c>
      <c r="BN44" s="8">
        <v>6.0029789999999998</v>
      </c>
      <c r="BO44" s="8">
        <v>5.8579290000000004</v>
      </c>
      <c r="BP44" s="8">
        <v>5.9523679999999999</v>
      </c>
      <c r="BQ44" s="8">
        <v>5.6042110000000003</v>
      </c>
      <c r="BR44" s="8">
        <v>5.4832859999999997</v>
      </c>
      <c r="BS44" s="8">
        <v>5.2149999999999999</v>
      </c>
      <c r="BT44" s="8">
        <v>6.0464289999999998</v>
      </c>
      <c r="BU44" s="8">
        <v>5.8647369999999999</v>
      </c>
    </row>
    <row r="45" spans="1:73" x14ac:dyDescent="0.25">
      <c r="A45" s="9" t="s">
        <v>160</v>
      </c>
      <c r="B45" s="5" t="s">
        <v>161</v>
      </c>
      <c r="C45" s="3">
        <v>0.37340041408957803</v>
      </c>
      <c r="D45" s="3">
        <v>3.0508884930729299E-2</v>
      </c>
      <c r="E45" s="10">
        <v>3.3866841540604871E-3</v>
      </c>
      <c r="F45" s="2">
        <v>1.5354767471481116E-3</v>
      </c>
      <c r="G45" s="2">
        <v>5.5310344827586198</v>
      </c>
      <c r="H45" s="5">
        <v>5.5139469696969901</v>
      </c>
      <c r="I45" s="2">
        <f t="shared" si="0"/>
        <v>1.70875130616297E-2</v>
      </c>
      <c r="J45">
        <v>2</v>
      </c>
      <c r="K45">
        <v>3</v>
      </c>
      <c r="L45" s="5">
        <v>0.32469756717289</v>
      </c>
      <c r="M45" s="5">
        <v>0.109175004764565</v>
      </c>
      <c r="N45" s="6">
        <v>9.15960573719682</v>
      </c>
      <c r="O45" s="3">
        <v>6.8130810112776397</v>
      </c>
      <c r="P45" s="3" t="s">
        <v>75</v>
      </c>
      <c r="Q45" s="3">
        <v>0.37340041408957803</v>
      </c>
      <c r="R45" s="3">
        <v>0</v>
      </c>
      <c r="S45" s="3">
        <v>0</v>
      </c>
      <c r="T45" s="3">
        <v>0</v>
      </c>
      <c r="U45">
        <v>2.4487288137403</v>
      </c>
      <c r="V45" s="3">
        <f>G45+U45</f>
        <v>7.9797632964989198</v>
      </c>
      <c r="W45" s="7">
        <v>6.58</v>
      </c>
      <c r="X45" s="7">
        <v>3.7</v>
      </c>
      <c r="Y45" s="7">
        <v>4.5999999999999996</v>
      </c>
      <c r="Z45" s="7">
        <v>3.97</v>
      </c>
      <c r="AA45" s="7">
        <v>0</v>
      </c>
      <c r="AB45" s="7">
        <v>5.05</v>
      </c>
      <c r="AC45" s="7">
        <v>5.5</v>
      </c>
      <c r="AD45" s="7">
        <v>5.3875000000000002</v>
      </c>
      <c r="AE45" s="7">
        <v>4.4424999999999999</v>
      </c>
      <c r="AF45" s="7">
        <v>4.1500000000000004</v>
      </c>
      <c r="AG45" s="7">
        <v>9.5500000000000007</v>
      </c>
      <c r="AH45" s="7">
        <v>6.4337499999999999</v>
      </c>
      <c r="AI45" s="7">
        <v>5.23</v>
      </c>
      <c r="AJ45" s="7">
        <v>0</v>
      </c>
      <c r="AK45" s="7">
        <v>0</v>
      </c>
      <c r="AL45" s="7">
        <v>6.85</v>
      </c>
      <c r="AM45" s="7">
        <v>0</v>
      </c>
      <c r="AN45" s="13">
        <v>8.4760769746416303E-3</v>
      </c>
      <c r="AO45" s="13">
        <v>3.4263093761120098E-3</v>
      </c>
      <c r="AP45" s="13">
        <v>3.7111937057388699E-3</v>
      </c>
      <c r="AQ45" s="13">
        <v>3.5966462759894902E-3</v>
      </c>
      <c r="AR45" s="13">
        <v>3.4949956815909801E-3</v>
      </c>
      <c r="AS45" s="13">
        <v>3.1715943305207698E-3</v>
      </c>
      <c r="AT45" s="13">
        <v>2.8337590796086299E-3</v>
      </c>
      <c r="AU45" s="13">
        <v>3.09596146375367E-3</v>
      </c>
      <c r="AV45" s="13">
        <v>2.75608005538866E-3</v>
      </c>
      <c r="AW45" s="13">
        <v>2.7150418451124601E-3</v>
      </c>
      <c r="AX45" s="13">
        <v>2.70400186978902E-3</v>
      </c>
      <c r="AY45" s="13">
        <v>2.9634827548611102E-3</v>
      </c>
      <c r="AZ45" s="13">
        <v>2.838187350666E-3</v>
      </c>
      <c r="BA45" s="13">
        <v>3.0885939255717401E-3</v>
      </c>
      <c r="BB45" s="13">
        <v>2.57207586207173E-3</v>
      </c>
      <c r="BC45" s="13">
        <v>3.0805082998059301E-3</v>
      </c>
      <c r="BD45" s="13">
        <v>3.0491217678054899E-3</v>
      </c>
      <c r="BE45" s="8">
        <v>5.2023080000000004</v>
      </c>
      <c r="BF45" s="8">
        <v>5.2371999999999996</v>
      </c>
      <c r="BG45" s="8">
        <v>5.3979999999999997</v>
      </c>
      <c r="BH45" s="8">
        <v>4.7050000000000001</v>
      </c>
      <c r="BI45" s="8">
        <v>4.41</v>
      </c>
      <c r="BJ45" s="8">
        <v>5.7939999999999996</v>
      </c>
      <c r="BK45" s="8">
        <v>5.430714</v>
      </c>
      <c r="BL45" s="8">
        <v>4.7169999999999996</v>
      </c>
      <c r="BM45" s="8">
        <v>5.6361540000000003</v>
      </c>
      <c r="BN45" s="8">
        <v>5.1274579999999998</v>
      </c>
      <c r="BO45" s="8">
        <v>6.1489000000000003</v>
      </c>
      <c r="BP45" s="8">
        <v>5.9231249999999998</v>
      </c>
      <c r="BQ45" s="8">
        <v>5.2590000000000003</v>
      </c>
      <c r="BR45" s="8">
        <v>6.4409090000000004</v>
      </c>
      <c r="BS45" s="8">
        <v>6.0641069999999999</v>
      </c>
      <c r="BT45" s="8">
        <v>5.3436839999999997</v>
      </c>
      <c r="BU45" s="8">
        <v>6.0439129999999999</v>
      </c>
    </row>
    <row r="46" spans="1:73" x14ac:dyDescent="0.25">
      <c r="A46" s="9" t="s">
        <v>162</v>
      </c>
      <c r="B46" s="5" t="s">
        <v>163</v>
      </c>
      <c r="C46" s="3">
        <v>0.319201196959077</v>
      </c>
      <c r="D46" s="3">
        <v>3.85811902933881E-2</v>
      </c>
      <c r="E46" s="10">
        <v>2.030723176358214E-3</v>
      </c>
      <c r="F46" s="2">
        <v>1.3478200993152104E-3</v>
      </c>
      <c r="G46" s="2">
        <v>4.9749999999999996</v>
      </c>
      <c r="H46" s="5">
        <v>5.2520703124999901</v>
      </c>
      <c r="I46" s="2">
        <f t="shared" si="0"/>
        <v>-0.27707031249999048</v>
      </c>
      <c r="J46">
        <v>7</v>
      </c>
      <c r="K46">
        <v>4</v>
      </c>
      <c r="L46" s="5">
        <v>1.3995937105777001</v>
      </c>
      <c r="M46" s="5">
        <v>0.109767350693279</v>
      </c>
      <c r="N46" s="6">
        <v>9.1101770579694694</v>
      </c>
      <c r="O46" s="3">
        <v>5.9164418578638402</v>
      </c>
      <c r="P46" s="3" t="s">
        <v>78</v>
      </c>
      <c r="Q46" s="3">
        <v>46.845355746655997</v>
      </c>
      <c r="R46" s="3">
        <v>6.9193559840985703E-3</v>
      </c>
      <c r="S46" s="3">
        <v>0</v>
      </c>
      <c r="T46" s="3">
        <v>1.1007701400732E-2</v>
      </c>
      <c r="U46">
        <v>0</v>
      </c>
      <c r="V46" s="3">
        <f>G46+U46</f>
        <v>4.9749999999999996</v>
      </c>
      <c r="W46" s="7">
        <v>0</v>
      </c>
      <c r="X46" s="7">
        <v>1.9</v>
      </c>
      <c r="Y46" s="7">
        <v>0</v>
      </c>
      <c r="Z46" s="7">
        <v>0</v>
      </c>
      <c r="AA46" s="7">
        <v>0</v>
      </c>
      <c r="AB46" s="7">
        <v>0</v>
      </c>
      <c r="AC46" s="7">
        <v>1.9</v>
      </c>
      <c r="AD46" s="7">
        <v>1.9</v>
      </c>
      <c r="AE46" s="7">
        <v>0</v>
      </c>
      <c r="AF46" s="7">
        <v>0</v>
      </c>
      <c r="AG46" s="7">
        <v>9.1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9.5500000000000007</v>
      </c>
      <c r="AN46" s="13">
        <v>5.0824243342455899E-3</v>
      </c>
      <c r="AO46" s="13">
        <v>2.0544832476042702E-3</v>
      </c>
      <c r="AP46" s="13">
        <v>2.22530555769803E-3</v>
      </c>
      <c r="AQ46" s="13">
        <v>2.1566206405924698E-3</v>
      </c>
      <c r="AR46" s="13">
        <v>2.0956689224677799E-3</v>
      </c>
      <c r="AS46" s="13">
        <v>1.9017510402535799E-3</v>
      </c>
      <c r="AT46" s="13">
        <v>1.69917830461907E-3</v>
      </c>
      <c r="AU46" s="13">
        <v>1.8564000690819099E-3</v>
      </c>
      <c r="AV46" s="13">
        <v>1.6526004167427299E-3</v>
      </c>
      <c r="AW46" s="13">
        <v>1.6279930896543099E-3</v>
      </c>
      <c r="AX46" s="13">
        <v>1.62137330087689E-3</v>
      </c>
      <c r="AY46" s="13">
        <v>1.7769632003678301E-3</v>
      </c>
      <c r="AZ46" s="13">
        <v>1.7018335840187199E-3</v>
      </c>
      <c r="BA46" s="13">
        <v>1.8519823466554299E-3</v>
      </c>
      <c r="BB46" s="13">
        <v>1.5422678427801501E-3</v>
      </c>
      <c r="BC46" s="13">
        <v>1.8471340446316699E-3</v>
      </c>
      <c r="BD46" s="13">
        <v>1.82831405579912E-3</v>
      </c>
      <c r="BE46" s="8">
        <v>6.7750000000000004</v>
      </c>
      <c r="BF46" s="8">
        <v>6.1449999999999996</v>
      </c>
      <c r="BG46" s="8">
        <v>4.93</v>
      </c>
      <c r="BH46" s="8">
        <v>5.3772729999999997</v>
      </c>
      <c r="BI46" s="8">
        <v>4.2</v>
      </c>
      <c r="BJ46" s="8">
        <v>5.0031999999999996</v>
      </c>
      <c r="BK46" s="8">
        <v>4.6449999999999996</v>
      </c>
      <c r="BL46" s="8">
        <v>4.6651319999999998</v>
      </c>
      <c r="BM46" s="8">
        <v>4.7466670000000004</v>
      </c>
      <c r="BN46" s="8">
        <v>4.4939289999999996</v>
      </c>
      <c r="BO46" s="8">
        <v>5.2248570000000001</v>
      </c>
      <c r="BP46" s="8">
        <v>5.4425860000000004</v>
      </c>
      <c r="BQ46" s="8">
        <v>6.6618180000000002</v>
      </c>
      <c r="BR46" s="8">
        <v>5.849348</v>
      </c>
      <c r="BS46" s="8">
        <v>5.4672729999999996</v>
      </c>
      <c r="BT46" s="8">
        <v>5.5</v>
      </c>
      <c r="BU46" s="8">
        <v>5.734375</v>
      </c>
    </row>
    <row r="47" spans="1:73" x14ac:dyDescent="0.25">
      <c r="A47" s="9" t="s">
        <v>164</v>
      </c>
      <c r="B47" s="5" t="s">
        <v>165</v>
      </c>
      <c r="C47" s="3">
        <v>0.31006048595339902</v>
      </c>
      <c r="D47" s="3">
        <v>2.8226790296735301E-2</v>
      </c>
      <c r="E47" s="10">
        <v>1.9725709705881249E-3</v>
      </c>
      <c r="F47" s="2">
        <v>2.105499168229677E-3</v>
      </c>
      <c r="G47" s="2">
        <v>5.3957894736842098</v>
      </c>
      <c r="H47" s="5">
        <v>5.5254838709677401</v>
      </c>
      <c r="I47" s="2">
        <f t="shared" si="0"/>
        <v>-0.12969439728353027</v>
      </c>
      <c r="J47">
        <v>7</v>
      </c>
      <c r="K47">
        <v>4</v>
      </c>
      <c r="L47" s="5">
        <v>0.32313438531682698</v>
      </c>
      <c r="M47" s="5">
        <v>5.7156096286664203E-2</v>
      </c>
      <c r="N47" s="6">
        <v>17.4959464513556</v>
      </c>
      <c r="O47" s="3">
        <v>6.4094733292389403</v>
      </c>
      <c r="P47" s="3" t="s">
        <v>75</v>
      </c>
      <c r="Q47" s="3">
        <v>0.31006048595339902</v>
      </c>
      <c r="R47" s="3">
        <v>0</v>
      </c>
      <c r="S47" s="3">
        <v>0</v>
      </c>
      <c r="T47" s="3">
        <v>0</v>
      </c>
      <c r="U47">
        <v>0</v>
      </c>
      <c r="V47" s="3">
        <f>G47+U47</f>
        <v>5.3957894736842098</v>
      </c>
      <c r="W47" s="7">
        <v>0</v>
      </c>
      <c r="X47" s="7">
        <v>8.65</v>
      </c>
      <c r="Y47" s="7">
        <v>4.6719999999999997</v>
      </c>
      <c r="Z47" s="7">
        <v>4.78</v>
      </c>
      <c r="AA47" s="7">
        <v>0</v>
      </c>
      <c r="AB47" s="7">
        <v>6.85</v>
      </c>
      <c r="AC47" s="7">
        <v>4.9749999999999996</v>
      </c>
      <c r="AD47" s="7">
        <v>9.5500000000000007</v>
      </c>
      <c r="AE47" s="7">
        <v>5.875</v>
      </c>
      <c r="AF47" s="7">
        <v>7.42</v>
      </c>
      <c r="AG47" s="7">
        <v>3.67</v>
      </c>
      <c r="AH47" s="7">
        <v>0</v>
      </c>
      <c r="AI47" s="7">
        <v>5.3650000000000002</v>
      </c>
      <c r="AJ47" s="7">
        <v>4.1500000000000004</v>
      </c>
      <c r="AK47" s="7">
        <v>0</v>
      </c>
      <c r="AL47" s="7">
        <v>3.9925000000000002</v>
      </c>
      <c r="AM47" s="7">
        <v>0</v>
      </c>
      <c r="AN47" s="13">
        <v>4.9368829876273897E-3</v>
      </c>
      <c r="AO47" s="13">
        <v>1.9956506435562199E-3</v>
      </c>
      <c r="AP47" s="13">
        <v>2.16158125090962E-3</v>
      </c>
      <c r="AQ47" s="13">
        <v>2.0948632091907899E-3</v>
      </c>
      <c r="AR47" s="13">
        <v>2.0356569169792402E-3</v>
      </c>
      <c r="AS47" s="13">
        <v>1.84729210704997E-3</v>
      </c>
      <c r="AT47" s="13">
        <v>1.6505202858597199E-3</v>
      </c>
      <c r="AU47" s="13">
        <v>1.8032398155989799E-3</v>
      </c>
      <c r="AV47" s="13">
        <v>1.6052762119427E-3</v>
      </c>
      <c r="AW47" s="13">
        <v>1.5813735453244801E-3</v>
      </c>
      <c r="AX47" s="13">
        <v>1.5749433221774699E-3</v>
      </c>
      <c r="AY47" s="13">
        <v>1.72607771736518E-3</v>
      </c>
      <c r="AZ47" s="13">
        <v>1.65309952813337E-3</v>
      </c>
      <c r="BA47" s="13">
        <v>1.7989485999788399E-3</v>
      </c>
      <c r="BB47" s="13">
        <v>1.4981031442185401E-3</v>
      </c>
      <c r="BC47" s="13">
        <v>1.79423913492714E-3</v>
      </c>
      <c r="BD47" s="13">
        <v>1.7759580791583999E-3</v>
      </c>
      <c r="BE47" s="8">
        <v>5.8694740000000003</v>
      </c>
      <c r="BF47" s="8">
        <v>6.71875</v>
      </c>
      <c r="BG47" s="8">
        <v>5.4568000000000003</v>
      </c>
      <c r="BH47" s="8">
        <v>5.8085709999999997</v>
      </c>
      <c r="BI47" s="8">
        <v>5.5184850000000001</v>
      </c>
      <c r="BJ47" s="8">
        <v>6.1901640000000002</v>
      </c>
      <c r="BK47" s="8">
        <v>4.7862960000000001</v>
      </c>
      <c r="BL47" s="8">
        <v>5.5833329999999997</v>
      </c>
      <c r="BM47" s="8">
        <v>5.4333999999999998</v>
      </c>
      <c r="BN47" s="8">
        <v>5.3786519999999998</v>
      </c>
      <c r="BO47" s="8">
        <v>5.7</v>
      </c>
      <c r="BP47" s="8">
        <v>5.3172870000000003</v>
      </c>
      <c r="BQ47" s="8">
        <v>5.164485</v>
      </c>
      <c r="BR47" s="8">
        <v>4.9724139999999997</v>
      </c>
      <c r="BS47" s="8">
        <v>5.8314630000000003</v>
      </c>
      <c r="BT47" s="8">
        <v>5.3414289999999998</v>
      </c>
      <c r="BU47" s="8">
        <v>5.412547</v>
      </c>
    </row>
    <row r="48" spans="1:73" x14ac:dyDescent="0.25">
      <c r="A48" s="9" t="s">
        <v>166</v>
      </c>
      <c r="B48" s="5" t="s">
        <v>167</v>
      </c>
      <c r="C48" s="3">
        <v>0.27905042890876602</v>
      </c>
      <c r="D48" s="3">
        <v>1.64955800407833E-2</v>
      </c>
      <c r="E48" s="10">
        <v>1.7752883722124051E-3</v>
      </c>
      <c r="F48" s="2">
        <v>9.0540631115057259E-3</v>
      </c>
      <c r="G48" s="2">
        <v>8.2251834862385298</v>
      </c>
      <c r="H48" s="5">
        <v>7.9031778969454596</v>
      </c>
      <c r="I48" s="2">
        <f t="shared" si="0"/>
        <v>0.32200558929307022</v>
      </c>
      <c r="J48">
        <v>5</v>
      </c>
      <c r="K48">
        <v>3</v>
      </c>
      <c r="L48" s="5">
        <v>7.5683464359082103E-2</v>
      </c>
      <c r="M48" s="5">
        <v>8.0695269997036106E-2</v>
      </c>
      <c r="N48" s="6">
        <v>12.3923000695918</v>
      </c>
      <c r="O48" s="3">
        <v>6.9743833510123601</v>
      </c>
      <c r="P48" s="3" t="s">
        <v>75</v>
      </c>
      <c r="Q48" s="3">
        <v>0.27905042890876602</v>
      </c>
      <c r="R48" s="3">
        <v>0</v>
      </c>
      <c r="S48" s="3">
        <v>0</v>
      </c>
      <c r="T48" s="3">
        <v>0</v>
      </c>
      <c r="U48">
        <v>0</v>
      </c>
      <c r="V48" s="3">
        <f>G48+U48</f>
        <v>8.2251834862385298</v>
      </c>
      <c r="W48" s="7">
        <v>8.0875000000000004</v>
      </c>
      <c r="X48" s="7">
        <v>7.9749999999999996</v>
      </c>
      <c r="Y48" s="7">
        <v>8.2899999999999991</v>
      </c>
      <c r="Z48" s="7">
        <v>8.65</v>
      </c>
      <c r="AA48" s="7">
        <v>7.3</v>
      </c>
      <c r="AB48" s="7">
        <v>8.7624999999999993</v>
      </c>
      <c r="AC48" s="7">
        <v>7.21</v>
      </c>
      <c r="AD48" s="7">
        <v>7.4285709999999998</v>
      </c>
      <c r="AE48" s="7">
        <v>9.1</v>
      </c>
      <c r="AF48" s="7">
        <v>7.6375000000000002</v>
      </c>
      <c r="AG48" s="7">
        <v>8.6312499999999996</v>
      </c>
      <c r="AH48" s="7">
        <v>7.2181819999999997</v>
      </c>
      <c r="AI48" s="7">
        <v>8.92</v>
      </c>
      <c r="AJ48" s="7">
        <v>8.125</v>
      </c>
      <c r="AK48" s="7">
        <v>9.4</v>
      </c>
      <c r="AL48" s="7">
        <v>8.65</v>
      </c>
      <c r="AM48" s="7">
        <v>8.5</v>
      </c>
      <c r="AN48" s="13">
        <v>4.4431308650431101E-3</v>
      </c>
      <c r="AO48" s="13">
        <v>1.7960597795106199E-3</v>
      </c>
      <c r="AP48" s="13">
        <v>1.9453951809845699E-3</v>
      </c>
      <c r="AQ48" s="13">
        <v>1.88534980596574E-3</v>
      </c>
      <c r="AR48" s="13">
        <v>1.83206490839187E-3</v>
      </c>
      <c r="AS48" s="13">
        <v>1.66253901462809E-3</v>
      </c>
      <c r="AT48" s="13">
        <v>1.4854469194149401E-3</v>
      </c>
      <c r="AU48" s="13">
        <v>1.62289252182843E-3</v>
      </c>
      <c r="AV48" s="13">
        <v>1.44472783780315E-3</v>
      </c>
      <c r="AW48" s="13">
        <v>1.42321574685945E-3</v>
      </c>
      <c r="AX48" s="13">
        <v>1.4174286291568101E-3</v>
      </c>
      <c r="AY48" s="13">
        <v>1.55344763096646E-3</v>
      </c>
      <c r="AZ48" s="13">
        <v>1.4877682041168801E-3</v>
      </c>
      <c r="BA48" s="13">
        <v>1.6190304832469601E-3</v>
      </c>
      <c r="BB48" s="13">
        <v>1.34827346238045E-3</v>
      </c>
      <c r="BC48" s="13">
        <v>1.61479202558421E-3</v>
      </c>
      <c r="BD48" s="13">
        <v>1.5983393117290801E-3</v>
      </c>
      <c r="BE48" s="8">
        <v>7.9924489999999997</v>
      </c>
      <c r="BF48" s="8">
        <v>7.5680930000000002</v>
      </c>
      <c r="BG48" s="8">
        <v>7.7798540000000003</v>
      </c>
      <c r="BH48" s="8">
        <v>7.3223079999999996</v>
      </c>
      <c r="BI48" s="8">
        <v>7.7138999999999998</v>
      </c>
      <c r="BJ48" s="8">
        <v>7.8004499999999997</v>
      </c>
      <c r="BK48" s="8">
        <v>7.6168399999999998</v>
      </c>
      <c r="BL48" s="8">
        <v>7.6956429999999996</v>
      </c>
      <c r="BM48" s="8">
        <v>7.9535090000000004</v>
      </c>
      <c r="BN48" s="8">
        <v>8.1451089999999997</v>
      </c>
      <c r="BO48" s="8">
        <v>7.8039519999999998</v>
      </c>
      <c r="BP48" s="8">
        <v>7.7998719999999997</v>
      </c>
      <c r="BQ48" s="8">
        <v>7.8571759999999999</v>
      </c>
      <c r="BR48" s="8">
        <v>8.3261710000000004</v>
      </c>
      <c r="BS48" s="8">
        <v>8.5067400000000006</v>
      </c>
      <c r="BT48" s="8">
        <v>8.0026039999999998</v>
      </c>
      <c r="BU48" s="8">
        <v>8.1960840000000008</v>
      </c>
    </row>
    <row r="49" spans="1:73" x14ac:dyDescent="0.25">
      <c r="A49" s="9" t="s">
        <v>168</v>
      </c>
      <c r="B49" s="5" t="s">
        <v>169</v>
      </c>
      <c r="C49" s="3">
        <v>0.26768459153639601</v>
      </c>
      <c r="D49" s="3">
        <v>2.90603477793006E-2</v>
      </c>
      <c r="E49" s="10">
        <v>1.70298015535522E-3</v>
      </c>
      <c r="F49" s="2">
        <v>2.9063063793493154E-3</v>
      </c>
      <c r="G49" s="2">
        <v>5.95</v>
      </c>
      <c r="H49" s="5">
        <v>6.8479508196721497</v>
      </c>
      <c r="I49" s="2">
        <f t="shared" si="0"/>
        <v>-0.89795081967214951</v>
      </c>
      <c r="J49">
        <v>7</v>
      </c>
      <c r="K49">
        <v>4</v>
      </c>
      <c r="L49" s="5">
        <v>0.12546178363451899</v>
      </c>
      <c r="M49" s="5">
        <v>0.13200253759993499</v>
      </c>
      <c r="N49" s="6">
        <v>7.5756119403608499</v>
      </c>
      <c r="O49" s="3">
        <v>6.6109726122531001</v>
      </c>
      <c r="P49" s="3" t="s">
        <v>78</v>
      </c>
      <c r="Q49" s="3">
        <v>33.236600722236901</v>
      </c>
      <c r="R49" s="3">
        <v>8.2036032236939699E-3</v>
      </c>
      <c r="S49" s="3">
        <v>0</v>
      </c>
      <c r="T49" s="3">
        <v>2.0756827542632101E-2</v>
      </c>
      <c r="U49">
        <v>0</v>
      </c>
      <c r="V49" s="3">
        <f>G49+U49</f>
        <v>5.95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7.75</v>
      </c>
      <c r="AD49" s="7">
        <v>2.8</v>
      </c>
      <c r="AE49" s="7">
        <v>0</v>
      </c>
      <c r="AF49" s="7">
        <v>0</v>
      </c>
      <c r="AG49" s="7">
        <v>0</v>
      </c>
      <c r="AH49" s="7">
        <v>2.8</v>
      </c>
      <c r="AI49" s="7">
        <v>0</v>
      </c>
      <c r="AJ49" s="7">
        <v>0</v>
      </c>
      <c r="AK49" s="7">
        <v>9.5500000000000007</v>
      </c>
      <c r="AL49" s="7">
        <v>0</v>
      </c>
      <c r="AM49" s="7">
        <v>0</v>
      </c>
      <c r="AN49" s="13">
        <v>4.2621603392721296E-3</v>
      </c>
      <c r="AO49" s="13">
        <v>1.7229055347929101E-3</v>
      </c>
      <c r="AP49" s="13">
        <v>1.8661584446766301E-3</v>
      </c>
      <c r="AQ49" s="13">
        <v>1.8085587421840701E-3</v>
      </c>
      <c r="AR49" s="13">
        <v>1.7574441601427601E-3</v>
      </c>
      <c r="AS49" s="13">
        <v>1.5948231249253699E-3</v>
      </c>
      <c r="AT49" s="13">
        <v>1.42494406271846E-3</v>
      </c>
      <c r="AU49" s="13">
        <v>1.5567914498893201E-3</v>
      </c>
      <c r="AV49" s="13">
        <v>1.38588348584849E-3</v>
      </c>
      <c r="AW49" s="13">
        <v>1.3652475911111999E-3</v>
      </c>
      <c r="AX49" s="13">
        <v>1.3596961850644001E-3</v>
      </c>
      <c r="AY49" s="13">
        <v>1.49017507765377E-3</v>
      </c>
      <c r="AZ49" s="13">
        <v>1.4271708005511501E-3</v>
      </c>
      <c r="BA49" s="13">
        <v>1.55308671370876E-3</v>
      </c>
      <c r="BB49" s="13">
        <v>1.29335773633471E-3</v>
      </c>
      <c r="BC49" s="13">
        <v>1.54902089014908E-3</v>
      </c>
      <c r="BD49" s="13">
        <v>1.5332383020154601E-3</v>
      </c>
      <c r="BE49" s="8">
        <v>6.2481249999999999</v>
      </c>
      <c r="BF49" s="8">
        <v>7.1068749999999996</v>
      </c>
      <c r="BG49" s="8">
        <v>7.008108</v>
      </c>
      <c r="BH49" s="8">
        <v>7.3604690000000002</v>
      </c>
      <c r="BI49" s="8">
        <v>7.3487499999999999</v>
      </c>
      <c r="BJ49" s="8">
        <v>6.5311430000000001</v>
      </c>
      <c r="BK49" s="8">
        <v>7.2207460000000001</v>
      </c>
      <c r="BL49" s="8">
        <v>6.788983</v>
      </c>
      <c r="BM49" s="8">
        <v>6.7315069999999997</v>
      </c>
      <c r="BN49" s="8">
        <v>6.9338519999999999</v>
      </c>
      <c r="BO49" s="8">
        <v>6.8092860000000002</v>
      </c>
      <c r="BP49" s="8">
        <v>6.6941879999999996</v>
      </c>
      <c r="BQ49" s="8">
        <v>6.8565180000000003</v>
      </c>
      <c r="BR49" s="8">
        <v>6.6084209999999999</v>
      </c>
      <c r="BS49" s="8">
        <v>6.7077419999999996</v>
      </c>
      <c r="BT49" s="8">
        <v>6.713902</v>
      </c>
      <c r="BU49" s="8">
        <v>6.4393750000000001</v>
      </c>
    </row>
    <row r="50" spans="1:73" x14ac:dyDescent="0.25">
      <c r="A50" s="9" t="s">
        <v>170</v>
      </c>
      <c r="B50" s="5" t="s">
        <v>171</v>
      </c>
      <c r="C50" s="3">
        <v>0.184013663614957</v>
      </c>
      <c r="D50" s="3">
        <v>2.2283467614549801E-2</v>
      </c>
      <c r="E50" s="10">
        <v>1.170674844046355E-3</v>
      </c>
      <c r="F50" s="2">
        <v>3.0839194954912132E-3</v>
      </c>
      <c r="G50" s="2">
        <v>7.28</v>
      </c>
      <c r="H50" s="5">
        <v>7.4346518987342396</v>
      </c>
      <c r="I50" s="2">
        <f t="shared" si="0"/>
        <v>-0.15465189873423935</v>
      </c>
      <c r="J50">
        <v>7</v>
      </c>
      <c r="K50">
        <v>4</v>
      </c>
      <c r="L50" s="5">
        <v>0.102537953352907</v>
      </c>
      <c r="M50" s="5">
        <v>7.9671649925709007E-2</v>
      </c>
      <c r="N50" s="6">
        <v>12.551516140715901</v>
      </c>
      <c r="O50" s="3">
        <v>6.6199750459566804</v>
      </c>
      <c r="P50" s="3" t="s">
        <v>75</v>
      </c>
      <c r="Q50" s="3">
        <v>0.184013663614957</v>
      </c>
      <c r="R50" s="3">
        <v>0</v>
      </c>
      <c r="S50" s="3">
        <v>0</v>
      </c>
      <c r="T50" s="3">
        <v>0</v>
      </c>
      <c r="U50">
        <v>0</v>
      </c>
      <c r="V50" s="3">
        <f>G50+U50</f>
        <v>7.28</v>
      </c>
      <c r="W50" s="7">
        <v>6.85</v>
      </c>
      <c r="X50" s="7">
        <v>7.3</v>
      </c>
      <c r="Y50" s="7">
        <v>9.5500000000000007</v>
      </c>
      <c r="Z50" s="7">
        <v>8.1999999999999993</v>
      </c>
      <c r="AA50" s="7">
        <v>9.5500000000000007</v>
      </c>
      <c r="AB50" s="7">
        <v>7.3</v>
      </c>
      <c r="AC50" s="7">
        <v>7.75</v>
      </c>
      <c r="AD50" s="7">
        <v>5.05</v>
      </c>
      <c r="AE50" s="7">
        <v>0</v>
      </c>
      <c r="AF50" s="7">
        <v>8</v>
      </c>
      <c r="AG50" s="7">
        <v>7.2750000000000004</v>
      </c>
      <c r="AH50" s="7">
        <v>9.1</v>
      </c>
      <c r="AI50" s="7">
        <v>3.7</v>
      </c>
      <c r="AJ50" s="7">
        <v>0</v>
      </c>
      <c r="AK50" s="7">
        <v>9.5500000000000007</v>
      </c>
      <c r="AL50" s="7">
        <v>9.5500000000000007</v>
      </c>
      <c r="AM50" s="7">
        <v>5.7249999999999996</v>
      </c>
      <c r="AN50" s="13">
        <v>2.92992485836524E-3</v>
      </c>
      <c r="AO50" s="13">
        <v>1.1843720914232101E-3</v>
      </c>
      <c r="AP50" s="13">
        <v>1.2828480351445399E-3</v>
      </c>
      <c r="AQ50" s="13">
        <v>1.24325243415028E-3</v>
      </c>
      <c r="AR50" s="13">
        <v>1.20811488121313E-3</v>
      </c>
      <c r="AS50" s="13">
        <v>1.0963247617316401E-3</v>
      </c>
      <c r="AT50" s="13">
        <v>9.7954527723181808E-4</v>
      </c>
      <c r="AU50" s="13">
        <v>1.0701807546499101E-3</v>
      </c>
      <c r="AV50" s="13">
        <v>9.5269397506495901E-4</v>
      </c>
      <c r="AW50" s="13">
        <v>9.38508300160074E-4</v>
      </c>
      <c r="AX50" s="13">
        <v>9.3469211276198095E-4</v>
      </c>
      <c r="AY50" s="13">
        <v>1.02438684981048E-3</v>
      </c>
      <c r="AZ50" s="13">
        <v>9.8107599733846407E-4</v>
      </c>
      <c r="BA50" s="13">
        <v>1.06763401830846E-3</v>
      </c>
      <c r="BB50" s="13">
        <v>8.8908926009414904E-4</v>
      </c>
      <c r="BC50" s="13">
        <v>1.0648390606886201E-3</v>
      </c>
      <c r="BD50" s="13">
        <v>1.0539896806510099E-3</v>
      </c>
      <c r="BE50" s="8">
        <v>7.5925000000000002</v>
      </c>
      <c r="BF50" s="8">
        <v>7.6677140000000001</v>
      </c>
      <c r="BG50" s="8">
        <v>7.21</v>
      </c>
      <c r="BH50" s="8">
        <v>8.0928570000000004</v>
      </c>
      <c r="BI50" s="8">
        <v>7.1433330000000002</v>
      </c>
      <c r="BJ50" s="8">
        <v>7.4683330000000003</v>
      </c>
      <c r="BK50" s="8">
        <v>7.4834129999999996</v>
      </c>
      <c r="BL50" s="8">
        <v>6.9434089999999999</v>
      </c>
      <c r="BM50" s="8">
        <v>6.9368420000000004</v>
      </c>
      <c r="BN50" s="8">
        <v>7.4211109999999998</v>
      </c>
      <c r="BO50" s="8">
        <v>7.8616669999999997</v>
      </c>
      <c r="BP50" s="8">
        <v>7.7131819999999998</v>
      </c>
      <c r="BQ50" s="8">
        <v>7.5445650000000004</v>
      </c>
      <c r="BR50" s="8">
        <v>7.2014860000000001</v>
      </c>
      <c r="BS50" s="8">
        <v>7.1905409999999996</v>
      </c>
      <c r="BT50" s="8">
        <v>7.2176600000000004</v>
      </c>
      <c r="BU50" s="8">
        <v>7.8440909999999997</v>
      </c>
    </row>
    <row r="51" spans="1:73" x14ac:dyDescent="0.25">
      <c r="A51" s="9" t="s">
        <v>172</v>
      </c>
      <c r="B51" s="5" t="s">
        <v>173</v>
      </c>
      <c r="C51" s="3">
        <v>0.25247775130414402</v>
      </c>
      <c r="D51" s="3">
        <v>2.2856236302516601E-2</v>
      </c>
      <c r="E51" s="10">
        <v>1.6062358975234741E-3</v>
      </c>
      <c r="F51" s="2">
        <v>2.0864147610274758E-3</v>
      </c>
      <c r="G51" s="2">
        <v>5.78125</v>
      </c>
      <c r="H51" s="5">
        <v>6.1477005730659302</v>
      </c>
      <c r="I51" s="2">
        <f t="shared" si="0"/>
        <v>-0.36645057306593021</v>
      </c>
      <c r="J51">
        <v>7</v>
      </c>
      <c r="K51">
        <v>4</v>
      </c>
      <c r="L51" s="5">
        <v>0.29842436114987703</v>
      </c>
      <c r="M51" s="5">
        <v>0.12732292505314399</v>
      </c>
      <c r="N51" s="6">
        <v>7.8540451343118702</v>
      </c>
      <c r="O51" s="3">
        <v>5.9571211236130104</v>
      </c>
      <c r="P51" s="3" t="s">
        <v>75</v>
      </c>
      <c r="Q51" s="3">
        <v>0.25247775130414402</v>
      </c>
      <c r="R51" s="3">
        <v>0</v>
      </c>
      <c r="S51" s="3">
        <v>0</v>
      </c>
      <c r="T51" s="3">
        <v>0</v>
      </c>
      <c r="U51">
        <v>0</v>
      </c>
      <c r="V51" s="3">
        <f>G51+U51</f>
        <v>5.78125</v>
      </c>
      <c r="W51" s="7">
        <v>0</v>
      </c>
      <c r="X51" s="7">
        <v>0</v>
      </c>
      <c r="Y51" s="7">
        <v>2.8</v>
      </c>
      <c r="Z51" s="7">
        <v>0</v>
      </c>
      <c r="AA51" s="7">
        <v>0</v>
      </c>
      <c r="AB51" s="7">
        <v>0</v>
      </c>
      <c r="AC51" s="7">
        <v>5.95</v>
      </c>
      <c r="AD51" s="7">
        <v>0</v>
      </c>
      <c r="AE51" s="7">
        <v>9.1</v>
      </c>
      <c r="AF51" s="7">
        <v>0</v>
      </c>
      <c r="AG51" s="7">
        <v>0</v>
      </c>
      <c r="AH51" s="7">
        <v>0</v>
      </c>
      <c r="AI51" s="7">
        <v>6.1749999999999998</v>
      </c>
      <c r="AJ51" s="7">
        <v>0</v>
      </c>
      <c r="AK51" s="7">
        <v>0</v>
      </c>
      <c r="AL51" s="7">
        <v>3.25</v>
      </c>
      <c r="AM51" s="7">
        <v>4.1500000000000004</v>
      </c>
      <c r="AN51" s="13">
        <v>4.0200321280383497E-3</v>
      </c>
      <c r="AO51" s="13">
        <v>1.62502934008002E-3</v>
      </c>
      <c r="AP51" s="13">
        <v>1.7601442241591699E-3</v>
      </c>
      <c r="AQ51" s="13">
        <v>1.7058166916043801E-3</v>
      </c>
      <c r="AR51" s="13">
        <v>1.65760586759478E-3</v>
      </c>
      <c r="AS51" s="13">
        <v>1.5042231381265699E-3</v>
      </c>
      <c r="AT51" s="13">
        <v>1.34399470146727E-3</v>
      </c>
      <c r="AU51" s="13">
        <v>1.4683519968840999E-3</v>
      </c>
      <c r="AV51" s="13">
        <v>1.3071531090686601E-3</v>
      </c>
      <c r="AW51" s="13">
        <v>1.2876895147335601E-3</v>
      </c>
      <c r="AX51" s="13">
        <v>1.28245347739863E-3</v>
      </c>
      <c r="AY51" s="13">
        <v>1.40552002076797E-3</v>
      </c>
      <c r="AZ51" s="13">
        <v>1.34609494099737E-3</v>
      </c>
      <c r="BA51" s="13">
        <v>1.4648577223176299E-3</v>
      </c>
      <c r="BB51" s="13">
        <v>1.2198836362877E-3</v>
      </c>
      <c r="BC51" s="13">
        <v>1.46102287331248E-3</v>
      </c>
      <c r="BD51" s="13">
        <v>1.4461368750603399E-3</v>
      </c>
      <c r="BE51" s="8">
        <v>7.0923080000000001</v>
      </c>
      <c r="BF51" s="8">
        <v>5.2417389999999999</v>
      </c>
      <c r="BG51" s="8">
        <v>5.3071429999999999</v>
      </c>
      <c r="BH51" s="8">
        <v>4.87</v>
      </c>
      <c r="BI51" s="8">
        <v>6.4915000000000003</v>
      </c>
      <c r="BJ51" s="8">
        <v>6.7848280000000001</v>
      </c>
      <c r="BK51" s="8">
        <v>5.8921299999999999</v>
      </c>
      <c r="BL51" s="8">
        <v>6.1968569999999996</v>
      </c>
      <c r="BM51" s="8">
        <v>5.9778180000000001</v>
      </c>
      <c r="BN51" s="8">
        <v>5.782203</v>
      </c>
      <c r="BO51" s="8">
        <v>6.8126420000000003</v>
      </c>
      <c r="BP51" s="8">
        <v>6.0617739999999998</v>
      </c>
      <c r="BQ51" s="8">
        <v>6.19</v>
      </c>
      <c r="BR51" s="8">
        <v>6.1915789999999999</v>
      </c>
      <c r="BS51" s="8">
        <v>7.2156250000000002</v>
      </c>
      <c r="BT51" s="8">
        <v>5.9190630000000004</v>
      </c>
      <c r="BU51" s="8">
        <v>5.8461540000000003</v>
      </c>
    </row>
    <row r="52" spans="1:73" x14ac:dyDescent="0.25">
      <c r="A52" s="9" t="s">
        <v>174</v>
      </c>
      <c r="B52" s="5" t="s">
        <v>175</v>
      </c>
      <c r="C52" s="3">
        <v>0.30225839842081598</v>
      </c>
      <c r="D52" s="3">
        <v>2.6602915417973699E-2</v>
      </c>
      <c r="E52" s="10">
        <v>1.922934941251984E-3</v>
      </c>
      <c r="F52" s="2">
        <v>2.1733664996615651E-3</v>
      </c>
      <c r="G52" s="2">
        <v>6.1504545454545401</v>
      </c>
      <c r="H52" s="5">
        <v>5.6343730242360399</v>
      </c>
      <c r="I52" s="2">
        <f t="shared" si="0"/>
        <v>0.51608152121850015</v>
      </c>
      <c r="J52">
        <v>6</v>
      </c>
      <c r="K52">
        <v>4</v>
      </c>
      <c r="L52" s="5">
        <v>0.23188078309903301</v>
      </c>
      <c r="M52" s="5">
        <v>0.11245419071406799</v>
      </c>
      <c r="N52" s="6">
        <v>8.8925098624617096</v>
      </c>
      <c r="O52" s="3">
        <v>6.8660697707795899</v>
      </c>
      <c r="P52" s="3" t="s">
        <v>75</v>
      </c>
      <c r="Q52" s="3">
        <v>0.30225839842081598</v>
      </c>
      <c r="R52" s="3">
        <v>0</v>
      </c>
      <c r="S52" s="3">
        <v>0</v>
      </c>
      <c r="T52" s="3">
        <v>0</v>
      </c>
      <c r="U52">
        <v>0</v>
      </c>
      <c r="V52" s="3">
        <f>G52+U52</f>
        <v>6.1504545454545401</v>
      </c>
      <c r="W52" s="7">
        <v>9.5500000000000007</v>
      </c>
      <c r="X52" s="7">
        <v>3.4750000000000001</v>
      </c>
      <c r="Y52" s="7">
        <v>0</v>
      </c>
      <c r="Z52" s="7">
        <v>0</v>
      </c>
      <c r="AA52" s="7">
        <v>0</v>
      </c>
      <c r="AB52" s="7">
        <v>9.5500000000000007</v>
      </c>
      <c r="AC52" s="7">
        <v>0</v>
      </c>
      <c r="AD52" s="7">
        <v>5.4550000000000001</v>
      </c>
      <c r="AE52" s="7">
        <v>6.22</v>
      </c>
      <c r="AF52" s="7">
        <v>3.61</v>
      </c>
      <c r="AG52" s="7">
        <v>3.6549999999999998</v>
      </c>
      <c r="AH52" s="7">
        <v>9.5500000000000007</v>
      </c>
      <c r="AI52" s="7">
        <v>6.625</v>
      </c>
      <c r="AJ52" s="7">
        <v>0</v>
      </c>
      <c r="AK52" s="7">
        <v>0</v>
      </c>
      <c r="AL52" s="7">
        <v>5.32</v>
      </c>
      <c r="AM52" s="7">
        <v>9.5500000000000007</v>
      </c>
      <c r="AN52" s="13">
        <v>4.8126556353765898E-3</v>
      </c>
      <c r="AO52" s="13">
        <v>1.9454338577648701E-3</v>
      </c>
      <c r="AP52" s="13">
        <v>2.1071891342342901E-3</v>
      </c>
      <c r="AQ52" s="13">
        <v>2.04214992624331E-3</v>
      </c>
      <c r="AR52" s="13">
        <v>1.98443344874612E-3</v>
      </c>
      <c r="AS52" s="13">
        <v>1.80080848411061E-3</v>
      </c>
      <c r="AT52" s="13">
        <v>1.6089880548016901E-3</v>
      </c>
      <c r="AU52" s="13">
        <v>1.7578646855165899E-3</v>
      </c>
      <c r="AV52" s="13">
        <v>1.56488246270039E-3</v>
      </c>
      <c r="AW52" s="13">
        <v>1.5415812616208799E-3</v>
      </c>
      <c r="AX52" s="13">
        <v>1.5353128429156501E-3</v>
      </c>
      <c r="AY52" s="13">
        <v>1.6826442260013401E-3</v>
      </c>
      <c r="AZ52" s="13">
        <v>1.6115023953065001E-3</v>
      </c>
      <c r="BA52" s="13">
        <v>1.75368145024676E-3</v>
      </c>
      <c r="BB52" s="13">
        <v>1.4604062031585E-3</v>
      </c>
      <c r="BC52" s="13">
        <v>1.7490904900037401E-3</v>
      </c>
      <c r="BD52" s="13">
        <v>1.73126944253582E-3</v>
      </c>
      <c r="BE52" s="8">
        <v>5.6565219999999998</v>
      </c>
      <c r="BF52" s="8">
        <v>4.8004550000000004</v>
      </c>
      <c r="BG52" s="8">
        <v>5.56907</v>
      </c>
      <c r="BH52" s="8">
        <v>5.7850000000000001</v>
      </c>
      <c r="BI52" s="8">
        <v>5.6661669999999997</v>
      </c>
      <c r="BJ52" s="8">
        <v>5.8560869999999996</v>
      </c>
      <c r="BK52" s="8">
        <v>5.7778460000000003</v>
      </c>
      <c r="BL52" s="8">
        <v>5.95</v>
      </c>
      <c r="BM52" s="8">
        <v>4.9784930000000003</v>
      </c>
      <c r="BN52" s="8">
        <v>6.0336020000000001</v>
      </c>
      <c r="BO52" s="8">
        <v>4.969265</v>
      </c>
      <c r="BP52" s="8">
        <v>5.6085289999999999</v>
      </c>
      <c r="BQ52" s="8">
        <v>6.0935610000000002</v>
      </c>
      <c r="BR52" s="8">
        <v>5.8579549999999996</v>
      </c>
      <c r="BS52" s="8">
        <v>5.8685710000000002</v>
      </c>
      <c r="BT52" s="8">
        <v>5.734</v>
      </c>
      <c r="BU52" s="8">
        <v>5.4927999999999999</v>
      </c>
    </row>
    <row r="53" spans="1:73" x14ac:dyDescent="0.25">
      <c r="A53" s="9" t="s">
        <v>176</v>
      </c>
      <c r="B53" s="5" t="s">
        <v>177</v>
      </c>
      <c r="C53" s="3">
        <v>0.701468568106283</v>
      </c>
      <c r="D53" s="3">
        <v>0.21796860998175399</v>
      </c>
      <c r="E53" s="10">
        <v>5.0787339733446681E-3</v>
      </c>
      <c r="F53" s="2">
        <v>3.2645978438921018E-3</v>
      </c>
      <c r="G53" s="2">
        <v>9.2769999999999992</v>
      </c>
      <c r="H53" s="5">
        <v>9.2559482758621705</v>
      </c>
      <c r="I53" s="2">
        <f t="shared" si="0"/>
        <v>2.1051724137828742E-2</v>
      </c>
      <c r="J53">
        <v>2</v>
      </c>
      <c r="K53">
        <v>3</v>
      </c>
      <c r="L53" s="5">
        <v>9.2516757010283696E-2</v>
      </c>
      <c r="M53" s="5">
        <v>0.30409109210750801</v>
      </c>
      <c r="N53" s="6">
        <v>3.2884883048348601</v>
      </c>
      <c r="O53" s="3">
        <v>9.5500000000000007</v>
      </c>
      <c r="P53" s="3" t="s">
        <v>75</v>
      </c>
      <c r="Q53" s="3">
        <v>0.701468568106283</v>
      </c>
      <c r="R53" s="3">
        <v>0</v>
      </c>
      <c r="S53" s="3">
        <v>0</v>
      </c>
      <c r="T53" s="3">
        <v>0</v>
      </c>
      <c r="U53">
        <v>0.72299999999999998</v>
      </c>
      <c r="V53" s="3">
        <f>G53+U53</f>
        <v>10</v>
      </c>
      <c r="W53" s="7">
        <v>0</v>
      </c>
      <c r="X53" s="7">
        <v>9.5500000000000007</v>
      </c>
      <c r="Y53" s="7">
        <v>9.5500000000000007</v>
      </c>
      <c r="Z53" s="7">
        <v>0</v>
      </c>
      <c r="AA53" s="7">
        <v>9.5500000000000007</v>
      </c>
      <c r="AB53" s="7">
        <v>0</v>
      </c>
      <c r="AC53" s="7">
        <v>9.5500000000000007</v>
      </c>
      <c r="AD53" s="7">
        <v>9.5500000000000007</v>
      </c>
      <c r="AE53" s="7">
        <v>9.5500000000000007</v>
      </c>
      <c r="AF53" s="7">
        <v>8.56</v>
      </c>
      <c r="AG53" s="7">
        <v>8.65</v>
      </c>
      <c r="AH53" s="7">
        <v>9.5500000000000007</v>
      </c>
      <c r="AI53" s="7">
        <v>0</v>
      </c>
      <c r="AJ53" s="7">
        <v>9.3249999999999993</v>
      </c>
      <c r="AK53" s="7">
        <v>0</v>
      </c>
      <c r="AL53" s="7">
        <v>9.5500000000000007</v>
      </c>
      <c r="AM53" s="7">
        <v>9.5500000000000007</v>
      </c>
      <c r="AN53" s="13">
        <v>1.2710881243585799E-2</v>
      </c>
      <c r="AO53" s="13">
        <v>5.1381566866180997E-3</v>
      </c>
      <c r="AP53" s="13">
        <v>5.5653744776880901E-3</v>
      </c>
      <c r="AQ53" s="13">
        <v>5.3935970409495597E-3</v>
      </c>
      <c r="AR53" s="13">
        <v>5.2411599361893097E-3</v>
      </c>
      <c r="AS53" s="13">
        <v>4.7561813099018298E-3</v>
      </c>
      <c r="AT53" s="13">
        <v>4.2495573413974903E-3</v>
      </c>
      <c r="AU53" s="13">
        <v>4.6427608689992E-3</v>
      </c>
      <c r="AV53" s="13">
        <v>4.1330684450682498E-3</v>
      </c>
      <c r="AW53" s="13">
        <v>4.0715267886120097E-3</v>
      </c>
      <c r="AX53" s="13">
        <v>4.0549710381524301E-3</v>
      </c>
      <c r="AY53" s="13">
        <v>4.4440933555876397E-3</v>
      </c>
      <c r="AZ53" s="13">
        <v>4.2561980582872796E-3</v>
      </c>
      <c r="BA53" s="13">
        <v>4.6317123729593002E-3</v>
      </c>
      <c r="BB53" s="13">
        <v>3.8571323656094799E-3</v>
      </c>
      <c r="BC53" s="13">
        <v>4.61958701954443E-3</v>
      </c>
      <c r="BD53" s="13">
        <v>4.5725191977090199E-3</v>
      </c>
      <c r="BE53" s="8">
        <v>9.5500000000000007</v>
      </c>
      <c r="BF53" s="8">
        <v>9.08</v>
      </c>
      <c r="BG53" s="8">
        <v>9.4681820000000005</v>
      </c>
      <c r="BH53" s="8">
        <v>9.1409090000000006</v>
      </c>
      <c r="BI53" s="8">
        <v>9.3215380000000003</v>
      </c>
      <c r="BJ53" s="8">
        <v>9.5078130000000005</v>
      </c>
      <c r="BK53" s="8">
        <v>9.2575000000000003</v>
      </c>
      <c r="BL53" s="8">
        <v>9.3345070000000003</v>
      </c>
      <c r="BM53" s="8">
        <v>9.2168419999999998</v>
      </c>
      <c r="BN53" s="8">
        <v>9.1557139999999997</v>
      </c>
      <c r="BO53" s="8">
        <v>9.2136069999999997</v>
      </c>
      <c r="BP53" s="8">
        <v>8.9168970000000005</v>
      </c>
      <c r="BQ53" s="8">
        <v>9.19</v>
      </c>
      <c r="BR53" s="8">
        <v>9.5344829999999998</v>
      </c>
      <c r="BS53" s="8">
        <v>8.9714290000000005</v>
      </c>
      <c r="BT53" s="8">
        <v>9.5500000000000007</v>
      </c>
      <c r="BU53" s="8">
        <v>9.5500000000000007</v>
      </c>
    </row>
    <row r="54" spans="1:73" x14ac:dyDescent="0.25">
      <c r="A54" s="9" t="s">
        <v>178</v>
      </c>
      <c r="B54" s="5" t="s">
        <v>179</v>
      </c>
      <c r="C54" s="3">
        <v>0.46214730684441602</v>
      </c>
      <c r="D54" s="3">
        <v>3.6097716801679898E-2</v>
      </c>
      <c r="E54" s="10">
        <v>2.9401307258280912E-3</v>
      </c>
      <c r="F54" s="2">
        <v>1.2845765363078281E-2</v>
      </c>
      <c r="G54" s="2">
        <v>9.2272251308900302</v>
      </c>
      <c r="H54" s="5">
        <v>9.2108404029698097</v>
      </c>
      <c r="I54" s="2">
        <f t="shared" si="0"/>
        <v>1.6384727920220499E-2</v>
      </c>
      <c r="J54">
        <v>1</v>
      </c>
      <c r="K54">
        <v>2</v>
      </c>
      <c r="L54" s="5">
        <v>4.5150262853789598E-2</v>
      </c>
      <c r="M54" s="5">
        <v>0.122490678803546</v>
      </c>
      <c r="N54" s="6">
        <v>8.1638865076731904</v>
      </c>
      <c r="O54" s="3">
        <v>9.5500000000000007</v>
      </c>
      <c r="P54" s="3" t="s">
        <v>75</v>
      </c>
      <c r="Q54" s="3">
        <v>0.46214730684441602</v>
      </c>
      <c r="R54" s="3">
        <v>0</v>
      </c>
      <c r="S54" s="3">
        <v>0</v>
      </c>
      <c r="T54" s="3">
        <v>0</v>
      </c>
      <c r="U54">
        <v>0</v>
      </c>
      <c r="V54" s="3">
        <f>G54+U54</f>
        <v>9.2272251308900302</v>
      </c>
      <c r="W54" s="7">
        <v>8.4700000000000006</v>
      </c>
      <c r="X54" s="7">
        <v>9.1857140000000008</v>
      </c>
      <c r="Y54" s="7">
        <v>9.1999999999999993</v>
      </c>
      <c r="Z54" s="7">
        <v>9.6999999999999993</v>
      </c>
      <c r="AA54" s="7">
        <v>9.4</v>
      </c>
      <c r="AB54" s="7">
        <v>9.1300000000000008</v>
      </c>
      <c r="AC54" s="7">
        <v>9.4937500000000004</v>
      </c>
      <c r="AD54" s="7">
        <v>9.2575000000000003</v>
      </c>
      <c r="AE54" s="7">
        <v>9.4124999999999996</v>
      </c>
      <c r="AF54" s="7">
        <v>9.4230769999999993</v>
      </c>
      <c r="AG54" s="7">
        <v>8.9605259999999998</v>
      </c>
      <c r="AH54" s="7">
        <v>9.5076920000000005</v>
      </c>
      <c r="AI54" s="7">
        <v>9.5090909999999997</v>
      </c>
      <c r="AJ54" s="7">
        <v>9.0850000000000009</v>
      </c>
      <c r="AK54" s="7">
        <v>9.5500000000000007</v>
      </c>
      <c r="AL54" s="7">
        <v>8.546875</v>
      </c>
      <c r="AM54" s="7">
        <v>9.4166670000000003</v>
      </c>
      <c r="AN54" s="13">
        <v>7.3584583663489599E-3</v>
      </c>
      <c r="AO54" s="13">
        <v>2.9745311386129001E-3</v>
      </c>
      <c r="AP54" s="13">
        <v>3.2218518608121099E-3</v>
      </c>
      <c r="AQ54" s="13">
        <v>3.1224081564539701E-3</v>
      </c>
      <c r="AR54" s="13">
        <v>3.0341607668852E-3</v>
      </c>
      <c r="AS54" s="13">
        <v>2.7534017100018398E-3</v>
      </c>
      <c r="AT54" s="13">
        <v>2.46011194447006E-3</v>
      </c>
      <c r="AU54" s="13">
        <v>2.6877414637702002E-3</v>
      </c>
      <c r="AV54" s="13">
        <v>2.3926753381990902E-3</v>
      </c>
      <c r="AW54" s="13">
        <v>2.3570482476653102E-3</v>
      </c>
      <c r="AX54" s="13">
        <v>2.34746395542421E-3</v>
      </c>
      <c r="AY54" s="13">
        <v>2.5727308206708E-3</v>
      </c>
      <c r="AZ54" s="13">
        <v>2.4639563229847902E-3</v>
      </c>
      <c r="BA54" s="13">
        <v>2.6813453770974998E-3</v>
      </c>
      <c r="BB54" s="13">
        <v>2.2329331367293499E-3</v>
      </c>
      <c r="BC54" s="13">
        <v>2.6743258867434699E-3</v>
      </c>
      <c r="BD54" s="13">
        <v>2.6470778462077001E-3</v>
      </c>
      <c r="BE54" s="8">
        <v>9.0921769999999995</v>
      </c>
      <c r="BF54" s="8">
        <v>9.287922</v>
      </c>
      <c r="BG54" s="8">
        <v>9.2918099999999999</v>
      </c>
      <c r="BH54" s="8">
        <v>9.2616999999999994</v>
      </c>
      <c r="BI54" s="8">
        <v>9.3049479999999996</v>
      </c>
      <c r="BJ54" s="8">
        <v>9.1828369999999993</v>
      </c>
      <c r="BK54" s="8">
        <v>9.2303370000000005</v>
      </c>
      <c r="BL54" s="8">
        <v>9.1473069999999996</v>
      </c>
      <c r="BM54" s="8">
        <v>9.2330199999999998</v>
      </c>
      <c r="BN54" s="8">
        <v>9.2162550000000003</v>
      </c>
      <c r="BO54" s="8">
        <v>9.1605430000000005</v>
      </c>
      <c r="BP54" s="8">
        <v>9.1698179999999994</v>
      </c>
      <c r="BQ54" s="8">
        <v>9.3189200000000003</v>
      </c>
      <c r="BR54" s="8">
        <v>9.1970390000000002</v>
      </c>
      <c r="BS54" s="8">
        <v>9.1317869999999992</v>
      </c>
      <c r="BT54" s="8">
        <v>9.2025459999999999</v>
      </c>
      <c r="BU54" s="8">
        <v>9.2269740000000002</v>
      </c>
    </row>
    <row r="55" spans="1:73" x14ac:dyDescent="0.25">
      <c r="A55" s="9" t="s">
        <v>180</v>
      </c>
      <c r="B55" s="5" t="s">
        <v>181</v>
      </c>
      <c r="C55" s="3">
        <v>0.53345221032470902</v>
      </c>
      <c r="D55" s="3">
        <v>9.0723837504486093E-3</v>
      </c>
      <c r="E55" s="10">
        <v>3.3937647393120079E-3</v>
      </c>
      <c r="F55" s="2">
        <v>5.2539997320296725E-2</v>
      </c>
      <c r="G55" s="2">
        <v>8.1544826007326492</v>
      </c>
      <c r="H55" s="5">
        <v>7.9861724384322299</v>
      </c>
      <c r="I55" s="2">
        <f t="shared" si="0"/>
        <v>0.16831016230041929</v>
      </c>
      <c r="J55">
        <v>1</v>
      </c>
      <c r="K55">
        <v>2</v>
      </c>
      <c r="L55" s="5">
        <v>1.5655965006157999E-2</v>
      </c>
      <c r="M55" s="5">
        <v>4.9335227129453103E-2</v>
      </c>
      <c r="N55" s="6">
        <v>20.269492169886099</v>
      </c>
      <c r="O55" s="3">
        <v>6.2552428731189904</v>
      </c>
      <c r="P55" s="3" t="s">
        <v>75</v>
      </c>
      <c r="Q55" s="3">
        <v>0.53345221032470902</v>
      </c>
      <c r="R55" s="3">
        <v>0</v>
      </c>
      <c r="S55" s="3">
        <v>0</v>
      </c>
      <c r="T55" s="3">
        <v>0</v>
      </c>
      <c r="U55">
        <v>0</v>
      </c>
      <c r="V55" s="3">
        <f>G55+U55</f>
        <v>8.1544826007326492</v>
      </c>
      <c r="W55" s="7">
        <v>7.9988890000000001</v>
      </c>
      <c r="X55" s="7">
        <v>9.0047060000000005</v>
      </c>
      <c r="Y55" s="7">
        <v>8.2364859999999993</v>
      </c>
      <c r="Z55" s="7">
        <v>9.0292860000000008</v>
      </c>
      <c r="AA55" s="7">
        <v>7.4971430000000003</v>
      </c>
      <c r="AB55" s="7">
        <v>8.119783</v>
      </c>
      <c r="AC55" s="7">
        <v>7.2952630000000003</v>
      </c>
      <c r="AD55" s="7">
        <v>7.743906</v>
      </c>
      <c r="AE55" s="7">
        <v>8.5404999999999998</v>
      </c>
      <c r="AF55" s="7">
        <v>7.8239530000000004</v>
      </c>
      <c r="AG55" s="7">
        <v>8.239706</v>
      </c>
      <c r="AH55" s="7">
        <v>8.5978949999999994</v>
      </c>
      <c r="AI55" s="7">
        <v>8.3676670000000009</v>
      </c>
      <c r="AJ55" s="7">
        <v>8.4319229999999994</v>
      </c>
      <c r="AK55" s="7">
        <v>8.6108700000000002</v>
      </c>
      <c r="AL55" s="7">
        <v>7.2357139999999998</v>
      </c>
      <c r="AM55" s="7">
        <v>7.8466670000000001</v>
      </c>
      <c r="AN55" s="13">
        <v>8.4937980206226792E-3</v>
      </c>
      <c r="AO55" s="13">
        <v>3.4334728063381702E-3</v>
      </c>
      <c r="AP55" s="13">
        <v>3.7189527473923101E-3</v>
      </c>
      <c r="AQ55" s="13">
        <v>3.60416583181998E-3</v>
      </c>
      <c r="AR55" s="13">
        <v>3.50230271518238E-3</v>
      </c>
      <c r="AS55" s="13">
        <v>3.1782252246398898E-3</v>
      </c>
      <c r="AT55" s="13">
        <v>2.8396836571106098E-3</v>
      </c>
      <c r="AU55" s="13">
        <v>3.1024342312402E-3</v>
      </c>
      <c r="AV55" s="13">
        <v>2.7618422283296499E-3</v>
      </c>
      <c r="AW55" s="13">
        <v>2.7207182189256901E-3</v>
      </c>
      <c r="AX55" s="13">
        <v>2.70965516218015E-3</v>
      </c>
      <c r="AY55" s="13">
        <v>2.9696785473627601E-3</v>
      </c>
      <c r="AZ55" s="13">
        <v>2.8441211864127102E-3</v>
      </c>
      <c r="BA55" s="13">
        <v>3.0950512896489599E-3</v>
      </c>
      <c r="BB55" s="13">
        <v>2.5774533350176299E-3</v>
      </c>
      <c r="BC55" s="13">
        <v>3.0869487591586699E-3</v>
      </c>
      <c r="BD55" s="13">
        <v>3.0554966069216002E-3</v>
      </c>
      <c r="BE55" s="8">
        <v>8.1539439999999992</v>
      </c>
      <c r="BF55" s="8">
        <v>8.1327999999999996</v>
      </c>
      <c r="BG55" s="8">
        <v>8.2744759999999999</v>
      </c>
      <c r="BH55" s="8">
        <v>8.1721780000000006</v>
      </c>
      <c r="BI55" s="8">
        <v>7.9967920000000001</v>
      </c>
      <c r="BJ55" s="8">
        <v>7.7884719999999996</v>
      </c>
      <c r="BK55" s="8">
        <v>7.787185</v>
      </c>
      <c r="BL55" s="8">
        <v>7.7762630000000001</v>
      </c>
      <c r="BM55" s="8">
        <v>7.7218159999999996</v>
      </c>
      <c r="BN55" s="8">
        <v>7.7534850000000004</v>
      </c>
      <c r="BO55" s="8">
        <v>7.944661</v>
      </c>
      <c r="BP55" s="8">
        <v>8.1346150000000002</v>
      </c>
      <c r="BQ55" s="8">
        <v>8.0712700000000002</v>
      </c>
      <c r="BR55" s="8">
        <v>8.0388610000000007</v>
      </c>
      <c r="BS55" s="8">
        <v>8.2668949999999999</v>
      </c>
      <c r="BT55" s="8">
        <v>8.3309700000000007</v>
      </c>
      <c r="BU55" s="8">
        <v>8.1218529999999998</v>
      </c>
    </row>
    <row r="56" spans="1:73" x14ac:dyDescent="0.25">
      <c r="A56" s="9" t="s">
        <v>182</v>
      </c>
      <c r="B56" s="5" t="s">
        <v>183</v>
      </c>
      <c r="C56" s="3">
        <v>0.25606950788217397</v>
      </c>
      <c r="D56" s="3">
        <v>2.2349787945366E-2</v>
      </c>
      <c r="E56" s="10">
        <v>1.7026940525974299E-3</v>
      </c>
      <c r="F56" s="2">
        <v>2.9526510863404328E-3</v>
      </c>
      <c r="G56" s="2">
        <v>6.3670731707317101</v>
      </c>
      <c r="H56" s="5">
        <v>6.5543664965986697</v>
      </c>
      <c r="I56" s="2">
        <f t="shared" si="0"/>
        <v>-0.18729332586695957</v>
      </c>
      <c r="J56">
        <v>7</v>
      </c>
      <c r="K56">
        <v>4</v>
      </c>
      <c r="L56" s="5">
        <v>0.10146237785668601</v>
      </c>
      <c r="M56" s="5">
        <v>8.2779750548002004E-2</v>
      </c>
      <c r="N56" s="6">
        <v>12.0802490147651</v>
      </c>
      <c r="O56" s="3">
        <v>6.3773805073688301</v>
      </c>
      <c r="P56" s="3" t="s">
        <v>75</v>
      </c>
      <c r="Q56" s="3">
        <v>0.25606950788217397</v>
      </c>
      <c r="R56" s="3">
        <v>0</v>
      </c>
      <c r="S56" s="3">
        <v>0</v>
      </c>
      <c r="T56" s="3">
        <v>0</v>
      </c>
      <c r="U56">
        <v>0</v>
      </c>
      <c r="V56" s="3">
        <f>G56+U56</f>
        <v>6.3670731707317101</v>
      </c>
      <c r="W56" s="7">
        <v>9.5500000000000007</v>
      </c>
      <c r="X56" s="7">
        <v>6.0528570000000004</v>
      </c>
      <c r="Y56" s="7">
        <v>5.4325000000000001</v>
      </c>
      <c r="Z56" s="7">
        <v>9.5500000000000007</v>
      </c>
      <c r="AA56" s="7">
        <v>0</v>
      </c>
      <c r="AB56" s="7">
        <v>7.0750000000000002</v>
      </c>
      <c r="AC56" s="7">
        <v>5.77</v>
      </c>
      <c r="AD56" s="7">
        <v>5.5</v>
      </c>
      <c r="AE56" s="7">
        <v>9.5500000000000007</v>
      </c>
      <c r="AF56" s="7">
        <v>6.85</v>
      </c>
      <c r="AG56" s="7">
        <v>4.1500000000000004</v>
      </c>
      <c r="AH56" s="7">
        <v>5.1624999999999996</v>
      </c>
      <c r="AI56" s="7">
        <v>0</v>
      </c>
      <c r="AJ56" s="7">
        <v>7.3</v>
      </c>
      <c r="AK56" s="7">
        <v>9.5500000000000007</v>
      </c>
      <c r="AL56" s="7">
        <v>7.75</v>
      </c>
      <c r="AM56" s="7">
        <v>5.95</v>
      </c>
      <c r="AN56" s="13">
        <v>4.2614442911001202E-3</v>
      </c>
      <c r="AO56" s="13">
        <v>1.7226160845469E-3</v>
      </c>
      <c r="AP56" s="13">
        <v>1.8658449277658101E-3</v>
      </c>
      <c r="AQ56" s="13">
        <v>1.80825490209401E-3</v>
      </c>
      <c r="AR56" s="13">
        <v>1.75714890736527E-3</v>
      </c>
      <c r="AS56" s="13">
        <v>1.5945551926815401E-3</v>
      </c>
      <c r="AT56" s="13">
        <v>1.4247046703657301E-3</v>
      </c>
      <c r="AU56" s="13">
        <v>1.5565299070135999E-3</v>
      </c>
      <c r="AV56" s="13">
        <v>1.3856506557206501E-3</v>
      </c>
      <c r="AW56" s="13">
        <v>1.36501822783902E-3</v>
      </c>
      <c r="AX56" s="13">
        <v>1.35946775443526E-3</v>
      </c>
      <c r="AY56" s="13">
        <v>1.48992472641041E-3</v>
      </c>
      <c r="AZ56" s="13">
        <v>1.42693103410373E-3</v>
      </c>
      <c r="BA56" s="13">
        <v>1.5528257932332699E-3</v>
      </c>
      <c r="BB56" s="13">
        <v>1.29314045064644E-3</v>
      </c>
      <c r="BC56" s="13">
        <v>1.54876065273694E-3</v>
      </c>
      <c r="BD56" s="13">
        <v>1.53298071609752E-3</v>
      </c>
      <c r="BE56" s="8">
        <v>6.9775</v>
      </c>
      <c r="BF56" s="8">
        <v>6.6418749999999998</v>
      </c>
      <c r="BG56" s="8">
        <v>6.078017</v>
      </c>
      <c r="BH56" s="8">
        <v>7.2067860000000001</v>
      </c>
      <c r="BI56" s="8">
        <v>7.09</v>
      </c>
      <c r="BJ56" s="8">
        <v>6.305714</v>
      </c>
      <c r="BK56" s="8">
        <v>6.5022279999999997</v>
      </c>
      <c r="BL56" s="8">
        <v>6.4180650000000004</v>
      </c>
      <c r="BM56" s="8">
        <v>6.4826030000000001</v>
      </c>
      <c r="BN56" s="8">
        <v>6.8719349999999997</v>
      </c>
      <c r="BO56" s="8">
        <v>6.3969120000000004</v>
      </c>
      <c r="BP56" s="8">
        <v>6.0838559999999999</v>
      </c>
      <c r="BQ56" s="8">
        <v>6.3633649999999999</v>
      </c>
      <c r="BR56" s="8">
        <v>6.642182</v>
      </c>
      <c r="BS56" s="8">
        <v>6.6844229999999998</v>
      </c>
      <c r="BT56" s="8">
        <v>6.8907809999999996</v>
      </c>
      <c r="BU56" s="8">
        <v>6.740926</v>
      </c>
    </row>
    <row r="57" spans="1:73" x14ac:dyDescent="0.25">
      <c r="A57" s="9" t="s">
        <v>184</v>
      </c>
      <c r="B57" s="5" t="s">
        <v>185</v>
      </c>
      <c r="C57" s="3">
        <v>0.36208330832837499</v>
      </c>
      <c r="D57" s="3">
        <v>3.11181791961243E-2</v>
      </c>
      <c r="E57" s="10">
        <v>2.3035344885913929E-3</v>
      </c>
      <c r="F57" s="2">
        <v>1.4875416506049505E-3</v>
      </c>
      <c r="G57" s="2">
        <v>4.7421052631579004</v>
      </c>
      <c r="H57" s="5">
        <v>5.1071428571428701</v>
      </c>
      <c r="I57" s="2">
        <f t="shared" si="0"/>
        <v>-0.36503759398496971</v>
      </c>
      <c r="J57">
        <v>3</v>
      </c>
      <c r="K57">
        <v>2</v>
      </c>
      <c r="L57" s="5">
        <v>0.23950644763609499</v>
      </c>
      <c r="M57" s="5">
        <v>0.104208563534831</v>
      </c>
      <c r="N57" s="6">
        <v>9.5961403370247709</v>
      </c>
      <c r="O57" s="3">
        <v>6.8213166634502</v>
      </c>
      <c r="P57" s="3" t="s">
        <v>75</v>
      </c>
      <c r="Q57" s="3">
        <v>0.36208330832837499</v>
      </c>
      <c r="R57" s="3">
        <v>0</v>
      </c>
      <c r="S57" s="3">
        <v>0</v>
      </c>
      <c r="T57" s="3">
        <v>0</v>
      </c>
      <c r="U57">
        <v>0</v>
      </c>
      <c r="V57" s="3">
        <f>G57+U57</f>
        <v>4.7421052631579004</v>
      </c>
      <c r="W57" s="7">
        <v>0</v>
      </c>
      <c r="X57" s="7">
        <v>6.1749999999999998</v>
      </c>
      <c r="Y57" s="7">
        <v>0</v>
      </c>
      <c r="Z57" s="7">
        <v>0</v>
      </c>
      <c r="AA57" s="7">
        <v>0</v>
      </c>
      <c r="AB57" s="7">
        <v>3.7</v>
      </c>
      <c r="AC57" s="7">
        <v>8.65</v>
      </c>
      <c r="AD57" s="7">
        <v>4.5999999999999996</v>
      </c>
      <c r="AE57" s="7">
        <v>3.61</v>
      </c>
      <c r="AF57" s="7">
        <v>0</v>
      </c>
      <c r="AG57" s="7">
        <v>2.35</v>
      </c>
      <c r="AH57" s="7">
        <v>3.61</v>
      </c>
      <c r="AI57" s="7">
        <v>0</v>
      </c>
      <c r="AJ57" s="7">
        <v>2.71</v>
      </c>
      <c r="AK57" s="7">
        <v>1.9</v>
      </c>
      <c r="AL57" s="7">
        <v>4.9375</v>
      </c>
      <c r="AM57" s="7">
        <v>5.1849999999999996</v>
      </c>
      <c r="AN57" s="13">
        <v>5.7652071320653904E-3</v>
      </c>
      <c r="AO57" s="13">
        <v>2.3304865341502701E-3</v>
      </c>
      <c r="AP57" s="13">
        <v>2.5242574465537499E-3</v>
      </c>
      <c r="AQ57" s="13">
        <v>2.4463452637212202E-3</v>
      </c>
      <c r="AR57" s="13">
        <v>2.37720517290347E-3</v>
      </c>
      <c r="AS57" s="13">
        <v>2.1572359841752799E-3</v>
      </c>
      <c r="AT57" s="13">
        <v>1.9274492321379E-3</v>
      </c>
      <c r="AU57" s="13">
        <v>2.1057924750839101E-3</v>
      </c>
      <c r="AV57" s="13">
        <v>1.8746139799587799E-3</v>
      </c>
      <c r="AW57" s="13">
        <v>1.84670085655518E-3</v>
      </c>
      <c r="AX57" s="13">
        <v>1.83919175244217E-3</v>
      </c>
      <c r="AY57" s="13">
        <v>2.0156839024931599E-3</v>
      </c>
      <c r="AZ57" s="13">
        <v>1.93046122695096E-3</v>
      </c>
      <c r="BA57" s="13">
        <v>2.1007812672103401E-3</v>
      </c>
      <c r="BB57" s="13">
        <v>1.7494591128174701E-3</v>
      </c>
      <c r="BC57" s="13">
        <v>2.0952816348365801E-3</v>
      </c>
      <c r="BD57" s="13">
        <v>2.07393333199777E-3</v>
      </c>
      <c r="BE57" s="8">
        <v>4.4331579999999997</v>
      </c>
      <c r="BF57" s="8">
        <v>4.6334289999999996</v>
      </c>
      <c r="BG57" s="8">
        <v>4.7882889999999998</v>
      </c>
      <c r="BH57" s="8">
        <v>4.7912499999999998</v>
      </c>
      <c r="BI57" s="8">
        <v>5.6755000000000004</v>
      </c>
      <c r="BJ57" s="8">
        <v>5.6459460000000004</v>
      </c>
      <c r="BK57" s="8">
        <v>4.8396939999999997</v>
      </c>
      <c r="BL57" s="8">
        <v>4.3975</v>
      </c>
      <c r="BM57" s="8">
        <v>4.95</v>
      </c>
      <c r="BN57" s="8">
        <v>5.118951</v>
      </c>
      <c r="BO57" s="8">
        <v>5.1825450000000002</v>
      </c>
      <c r="BP57" s="8">
        <v>4.5906599999999997</v>
      </c>
      <c r="BQ57" s="8">
        <v>6.0053850000000004</v>
      </c>
      <c r="BR57" s="8">
        <v>5.5869999999999997</v>
      </c>
      <c r="BS57" s="8">
        <v>5.4748279999999996</v>
      </c>
      <c r="BT57" s="8">
        <v>5.1726039999999998</v>
      </c>
      <c r="BU57" s="8">
        <v>5.6384619999999996</v>
      </c>
    </row>
    <row r="58" spans="1:73" x14ac:dyDescent="0.25">
      <c r="A58" s="9" t="s">
        <v>186</v>
      </c>
      <c r="B58" s="5" t="s">
        <v>187</v>
      </c>
      <c r="C58" s="3">
        <v>0.31361544006814801</v>
      </c>
      <c r="D58" s="3">
        <v>2.4800226711888199E-2</v>
      </c>
      <c r="E58" s="10">
        <v>1.9951872006664729E-3</v>
      </c>
      <c r="F58" s="2">
        <v>3.7807234154068614E-3</v>
      </c>
      <c r="G58" s="2">
        <v>5.9459701492537302</v>
      </c>
      <c r="H58" s="5">
        <v>6.0836266499057299</v>
      </c>
      <c r="I58" s="2">
        <f t="shared" si="0"/>
        <v>-0.13765650065199964</v>
      </c>
      <c r="J58">
        <v>7</v>
      </c>
      <c r="K58">
        <v>4</v>
      </c>
      <c r="L58" s="5">
        <v>0.103355316763038</v>
      </c>
      <c r="M58" s="5">
        <v>5.7962178276491999E-2</v>
      </c>
      <c r="N58" s="6">
        <v>17.252629727436801</v>
      </c>
      <c r="O58" s="3">
        <v>6.7303511379198104</v>
      </c>
      <c r="P58" s="3" t="s">
        <v>75</v>
      </c>
      <c r="Q58" s="3">
        <v>0.31361544006814801</v>
      </c>
      <c r="R58" s="3">
        <v>0</v>
      </c>
      <c r="S58" s="3">
        <v>0</v>
      </c>
      <c r="T58" s="3">
        <v>0</v>
      </c>
      <c r="U58">
        <v>0</v>
      </c>
      <c r="V58" s="3">
        <f>G58+U58</f>
        <v>5.9459701492537302</v>
      </c>
      <c r="W58" s="7">
        <v>3.7</v>
      </c>
      <c r="X58" s="7">
        <v>0</v>
      </c>
      <c r="Y58" s="7">
        <v>3.7</v>
      </c>
      <c r="Z58" s="7">
        <v>3.7</v>
      </c>
      <c r="AA58" s="7">
        <v>5.2750000000000004</v>
      </c>
      <c r="AB58" s="7">
        <v>3.7</v>
      </c>
      <c r="AC58" s="7">
        <v>5.371429</v>
      </c>
      <c r="AD58" s="7">
        <v>7.7320000000000002</v>
      </c>
      <c r="AE58" s="7">
        <v>3.61</v>
      </c>
      <c r="AF58" s="7">
        <v>7.57</v>
      </c>
      <c r="AG58" s="7">
        <v>4.7300000000000004</v>
      </c>
      <c r="AH58" s="7">
        <v>5.5</v>
      </c>
      <c r="AI58" s="7">
        <v>6.4</v>
      </c>
      <c r="AJ58" s="7">
        <v>6.4</v>
      </c>
      <c r="AK58" s="7">
        <v>6.625</v>
      </c>
      <c r="AL58" s="7">
        <v>6.4749999999999996</v>
      </c>
      <c r="AM58" s="7">
        <v>6.31</v>
      </c>
      <c r="AN58" s="13">
        <v>4.9934861127787101E-3</v>
      </c>
      <c r="AO58" s="13">
        <v>2.01853149032099E-3</v>
      </c>
      <c r="AP58" s="13">
        <v>2.1863645512990798E-3</v>
      </c>
      <c r="AQ58" s="13">
        <v>2.1188815634240001E-3</v>
      </c>
      <c r="AR58" s="13">
        <v>2.0589964499448201E-3</v>
      </c>
      <c r="AS58" s="13">
        <v>1.86847197025281E-3</v>
      </c>
      <c r="AT58" s="13">
        <v>1.66944408991573E-3</v>
      </c>
      <c r="AU58" s="13">
        <v>1.8239146035605299E-3</v>
      </c>
      <c r="AV58" s="13">
        <v>1.62368127654616E-3</v>
      </c>
      <c r="AW58" s="13">
        <v>1.5995045573256399E-3</v>
      </c>
      <c r="AX58" s="13">
        <v>1.59300060937566E-3</v>
      </c>
      <c r="AY58" s="13">
        <v>1.7458678143356301E-3</v>
      </c>
      <c r="AZ58" s="13">
        <v>1.6720529041224399E-3</v>
      </c>
      <c r="BA58" s="13">
        <v>1.81957418762201E-3</v>
      </c>
      <c r="BB58" s="13">
        <v>1.5152794313564499E-3</v>
      </c>
      <c r="BC58" s="13">
        <v>1.8148107268729501E-3</v>
      </c>
      <c r="BD58" s="13">
        <v>1.79632007227633E-3</v>
      </c>
      <c r="BE58" s="8">
        <v>5.7592860000000003</v>
      </c>
      <c r="BF58" s="8">
        <v>5.8090000000000002</v>
      </c>
      <c r="BG58" s="8">
        <v>5.9735469999999999</v>
      </c>
      <c r="BH58" s="8">
        <v>6.2097730000000002</v>
      </c>
      <c r="BI58" s="8">
        <v>6.4834149999999999</v>
      </c>
      <c r="BJ58" s="8">
        <v>5.9357319999999998</v>
      </c>
      <c r="BK58" s="8">
        <v>5.9752270000000003</v>
      </c>
      <c r="BL58" s="8">
        <v>5.9597899999999999</v>
      </c>
      <c r="BM58" s="8">
        <v>5.9956620000000003</v>
      </c>
      <c r="BN58" s="8">
        <v>5.8006000000000002</v>
      </c>
      <c r="BO58" s="8">
        <v>6.2395189999999996</v>
      </c>
      <c r="BP58" s="8">
        <v>6.2575539999999998</v>
      </c>
      <c r="BQ58" s="8">
        <v>6.1560670000000002</v>
      </c>
      <c r="BR58" s="8">
        <v>6.2308620000000001</v>
      </c>
      <c r="BS58" s="8">
        <v>6.3740379999999996</v>
      </c>
      <c r="BT58" s="8">
        <v>6.1615580000000003</v>
      </c>
      <c r="BU58" s="8">
        <v>6.3293749999999998</v>
      </c>
    </row>
    <row r="59" spans="1:73" x14ac:dyDescent="0.25">
      <c r="A59" s="9" t="s">
        <v>308</v>
      </c>
      <c r="B59" s="5" t="s">
        <v>188</v>
      </c>
      <c r="C59" s="3">
        <v>0.28429778354124202</v>
      </c>
      <c r="D59" s="3">
        <v>9.7830110173024107E-2</v>
      </c>
      <c r="E59" s="10">
        <v>1.8086714696702319E-3</v>
      </c>
      <c r="F59" s="2">
        <v>1.06854103583117E-3</v>
      </c>
      <c r="G59" s="2">
        <v>5.9725000000000001</v>
      </c>
      <c r="H59" s="5">
        <v>6.21599378881987</v>
      </c>
      <c r="I59" s="2">
        <f t="shared" si="0"/>
        <v>-0.24349378881986983</v>
      </c>
      <c r="J59">
        <v>7</v>
      </c>
      <c r="K59">
        <v>4</v>
      </c>
      <c r="L59" s="5">
        <v>0.59383499466429501</v>
      </c>
      <c r="M59" s="5">
        <v>0.21867053842782799</v>
      </c>
      <c r="N59" s="6">
        <v>4.5730897595519</v>
      </c>
      <c r="O59" s="3">
        <v>6.4</v>
      </c>
      <c r="P59" s="3" t="s">
        <v>105</v>
      </c>
      <c r="Q59" s="3">
        <v>28.207391599916601</v>
      </c>
      <c r="R59" s="3">
        <v>9.64947133422751E-3</v>
      </c>
      <c r="S59" s="3">
        <v>0</v>
      </c>
      <c r="T59" s="3">
        <v>4.0664593722453402E-2</v>
      </c>
      <c r="U59">
        <v>4.0211058254543897</v>
      </c>
      <c r="V59" s="3">
        <f>G59+U59</f>
        <v>9.9936058254543898</v>
      </c>
      <c r="W59" s="7">
        <v>0</v>
      </c>
      <c r="X59" s="7">
        <v>0</v>
      </c>
      <c r="Y59" s="7">
        <v>0</v>
      </c>
      <c r="Z59" s="7">
        <v>0</v>
      </c>
      <c r="AA59" s="7">
        <v>7.03</v>
      </c>
      <c r="AB59" s="7">
        <v>0</v>
      </c>
      <c r="AC59" s="7">
        <v>6.85</v>
      </c>
      <c r="AD59" s="7">
        <v>0</v>
      </c>
      <c r="AE59" s="7">
        <v>0</v>
      </c>
      <c r="AF59" s="7">
        <v>0</v>
      </c>
      <c r="AG59" s="7">
        <v>6.4</v>
      </c>
      <c r="AH59" s="7">
        <v>2.8</v>
      </c>
      <c r="AI59" s="7">
        <v>0</v>
      </c>
      <c r="AJ59" s="7">
        <v>0</v>
      </c>
      <c r="AK59" s="7">
        <v>0</v>
      </c>
      <c r="AL59" s="7">
        <v>5.7249999999999996</v>
      </c>
      <c r="AM59" s="7">
        <v>0</v>
      </c>
      <c r="AN59" s="13">
        <v>4.5266809366862702E-3</v>
      </c>
      <c r="AO59" s="13">
        <v>1.8298334692378601E-3</v>
      </c>
      <c r="AP59" s="13">
        <v>1.9819770219616801E-3</v>
      </c>
      <c r="AQ59" s="13">
        <v>1.9208025342659901E-3</v>
      </c>
      <c r="AR59" s="13">
        <v>1.8665156502224399E-3</v>
      </c>
      <c r="AS59" s="13">
        <v>1.69380193665332E-3</v>
      </c>
      <c r="AT59" s="13">
        <v>1.5133797443325301E-3</v>
      </c>
      <c r="AU59" s="13">
        <v>1.6534099183639901E-3</v>
      </c>
      <c r="AV59" s="13">
        <v>1.47189496792372E-3</v>
      </c>
      <c r="AW59" s="13">
        <v>1.4499783566554699E-3</v>
      </c>
      <c r="AX59" s="13">
        <v>1.4440824161174499E-3</v>
      </c>
      <c r="AY59" s="13">
        <v>1.5826591632853201E-3</v>
      </c>
      <c r="AZ59" s="13">
        <v>1.51574467922374E-3</v>
      </c>
      <c r="BA59" s="13">
        <v>1.6494752567583601E-3</v>
      </c>
      <c r="BB59" s="13">
        <v>1.37362683318992E-3</v>
      </c>
      <c r="BC59" s="13">
        <v>1.6451570977651399E-3</v>
      </c>
      <c r="BD59" s="13">
        <v>1.6283950017506601E-3</v>
      </c>
      <c r="BE59" s="8">
        <v>7.6</v>
      </c>
      <c r="BF59" s="8">
        <v>7.12</v>
      </c>
      <c r="BG59" s="8">
        <v>5.77</v>
      </c>
      <c r="BH59" s="8">
        <v>6.22</v>
      </c>
      <c r="BI59" s="8">
        <v>4.24</v>
      </c>
      <c r="BJ59" s="8">
        <v>6.2125000000000004</v>
      </c>
      <c r="BK59" s="8">
        <v>7.3794120000000003</v>
      </c>
      <c r="BL59" s="8">
        <v>6.0142860000000002</v>
      </c>
      <c r="BM59" s="8">
        <v>6.9320589999999997</v>
      </c>
      <c r="BN59" s="8">
        <v>5.69</v>
      </c>
      <c r="BO59" s="8">
        <v>5.5321429999999996</v>
      </c>
      <c r="BP59" s="8">
        <v>5.6</v>
      </c>
      <c r="BQ59" s="8">
        <v>7.39</v>
      </c>
      <c r="BR59" s="8">
        <v>6.55</v>
      </c>
      <c r="BS59" s="8">
        <v>7.0750000000000002</v>
      </c>
      <c r="BT59" s="8">
        <v>5.05</v>
      </c>
      <c r="BU59" s="8">
        <v>5.2</v>
      </c>
    </row>
    <row r="60" spans="1:73" x14ac:dyDescent="0.25">
      <c r="A60" s="9" t="s">
        <v>189</v>
      </c>
      <c r="B60" s="5" t="s">
        <v>190</v>
      </c>
      <c r="C60" s="3">
        <v>0.289367687748883</v>
      </c>
      <c r="D60" s="3">
        <v>3.6195507491884299E-2</v>
      </c>
      <c r="E60" s="10">
        <v>3.3994880894710352E-3</v>
      </c>
      <c r="F60" s="2">
        <v>1.3536317035141639E-3</v>
      </c>
      <c r="G60" s="2">
        <v>5.2829411764705902</v>
      </c>
      <c r="H60" s="5">
        <v>5.3910283400809504</v>
      </c>
      <c r="I60" s="2">
        <f t="shared" si="0"/>
        <v>-0.10808716361036019</v>
      </c>
      <c r="J60">
        <v>3</v>
      </c>
      <c r="K60">
        <v>2</v>
      </c>
      <c r="L60" s="5">
        <v>0.263264480216367</v>
      </c>
      <c r="M60" s="5">
        <v>3.7986291955974097E-2</v>
      </c>
      <c r="N60" s="6">
        <v>26.325286004724902</v>
      </c>
      <c r="O60" s="3">
        <v>6.4054437917389198</v>
      </c>
      <c r="P60" s="3" t="s">
        <v>75</v>
      </c>
      <c r="Q60" s="3">
        <v>0.289367687748883</v>
      </c>
      <c r="R60" s="3">
        <v>0</v>
      </c>
      <c r="S60" s="3">
        <v>0</v>
      </c>
      <c r="T60" s="3">
        <v>0</v>
      </c>
      <c r="U60">
        <v>0</v>
      </c>
      <c r="V60" s="3">
        <f>G60+U60</f>
        <v>5.2829411764705902</v>
      </c>
      <c r="W60" s="7">
        <v>0</v>
      </c>
      <c r="X60" s="7">
        <v>5.8</v>
      </c>
      <c r="Y60" s="7">
        <v>4.87</v>
      </c>
      <c r="Z60" s="7">
        <v>5.5674999999999999</v>
      </c>
      <c r="AA60" s="7">
        <v>0</v>
      </c>
      <c r="AB60" s="7">
        <v>6.1</v>
      </c>
      <c r="AC60" s="7">
        <v>4.24</v>
      </c>
      <c r="AD60" s="7">
        <v>6.46</v>
      </c>
      <c r="AE60" s="7">
        <v>0</v>
      </c>
      <c r="AF60" s="7">
        <v>4.96</v>
      </c>
      <c r="AG60" s="7">
        <v>4.3</v>
      </c>
      <c r="AH60" s="7">
        <v>0</v>
      </c>
      <c r="AI60" s="7">
        <v>0</v>
      </c>
      <c r="AJ60" s="7">
        <v>0</v>
      </c>
      <c r="AK60" s="7">
        <v>3.835</v>
      </c>
      <c r="AL60" s="7">
        <v>6.04</v>
      </c>
      <c r="AM60" s="7">
        <v>4.66</v>
      </c>
      <c r="AN60" s="13">
        <v>8.5081222251525198E-3</v>
      </c>
      <c r="AO60" s="13">
        <v>3.4392631214135E-3</v>
      </c>
      <c r="AP60" s="13">
        <v>3.72522450469818E-3</v>
      </c>
      <c r="AQ60" s="13">
        <v>3.6102440089097998E-3</v>
      </c>
      <c r="AR60" s="13">
        <v>3.5082091071516599E-3</v>
      </c>
      <c r="AS60" s="13">
        <v>3.18358508227356E-3</v>
      </c>
      <c r="AT60" s="13">
        <v>2.8444725877404299E-3</v>
      </c>
      <c r="AU60" s="13">
        <v>3.1076662725909301E-3</v>
      </c>
      <c r="AV60" s="13">
        <v>2.7664998847586899E-3</v>
      </c>
      <c r="AW60" s="13">
        <v>2.7253065225492602E-3</v>
      </c>
      <c r="AX60" s="13">
        <v>2.7142248087215701E-3</v>
      </c>
      <c r="AY60" s="13">
        <v>2.9746867054090301E-3</v>
      </c>
      <c r="AZ60" s="13">
        <v>2.8489176006296401E-3</v>
      </c>
      <c r="BA60" s="13">
        <v>3.1002708801779102E-3</v>
      </c>
      <c r="BB60" s="13">
        <v>2.5818000322957199E-3</v>
      </c>
      <c r="BC60" s="13">
        <v>3.0921546853288E-3</v>
      </c>
      <c r="BD60" s="13">
        <v>3.06064949120629E-3</v>
      </c>
      <c r="BE60" s="8">
        <v>5.3244999999999996</v>
      </c>
      <c r="BF60" s="8">
        <v>5.4355000000000002</v>
      </c>
      <c r="BG60" s="8">
        <v>5.3531579999999996</v>
      </c>
      <c r="BH60" s="8">
        <v>5.8233329999999999</v>
      </c>
      <c r="BI60" s="8">
        <v>5.382727</v>
      </c>
      <c r="BJ60" s="8">
        <v>5.4484209999999997</v>
      </c>
      <c r="BK60" s="8">
        <v>5.2365519999999997</v>
      </c>
      <c r="BL60" s="8">
        <v>5.3287100000000001</v>
      </c>
      <c r="BM60" s="8">
        <v>5.16533</v>
      </c>
      <c r="BN60" s="8">
        <v>5.6557719999999998</v>
      </c>
      <c r="BO60" s="8">
        <v>5.456734</v>
      </c>
      <c r="BP60" s="8">
        <v>5.4712949999999996</v>
      </c>
      <c r="BQ60" s="8">
        <v>5.2429730000000001</v>
      </c>
      <c r="BR60" s="8">
        <v>5.2619999999999996</v>
      </c>
      <c r="BS60" s="8">
        <v>5.2666279999999999</v>
      </c>
      <c r="BT60" s="8">
        <v>5.0358330000000002</v>
      </c>
      <c r="BU60" s="8">
        <v>5.3095610000000004</v>
      </c>
    </row>
    <row r="61" spans="1:73" x14ac:dyDescent="0.25">
      <c r="A61" s="9" t="s">
        <v>191</v>
      </c>
      <c r="B61" s="5" t="s">
        <v>192</v>
      </c>
      <c r="C61" s="3">
        <v>0.37183774706129302</v>
      </c>
      <c r="D61" s="3">
        <v>1.27209206482374E-2</v>
      </c>
      <c r="E61" s="10">
        <v>2.3655911631778681E-3</v>
      </c>
      <c r="F61" s="2">
        <v>8.29726650694298E-3</v>
      </c>
      <c r="G61" s="2">
        <v>6.6982283464566903</v>
      </c>
      <c r="H61" s="5">
        <v>6.96328203895151</v>
      </c>
      <c r="I61" s="2">
        <f t="shared" si="0"/>
        <v>-0.26505369249481969</v>
      </c>
      <c r="J61">
        <v>3</v>
      </c>
      <c r="K61">
        <v>2</v>
      </c>
      <c r="L61" s="5">
        <v>5.6466391078508003E-2</v>
      </c>
      <c r="M61" s="5">
        <v>7.1589076474191299E-2</v>
      </c>
      <c r="N61" s="6">
        <v>13.9686115431383</v>
      </c>
      <c r="O61" s="3">
        <v>6.9835365595424497</v>
      </c>
      <c r="P61" s="3" t="s">
        <v>75</v>
      </c>
      <c r="Q61" s="3">
        <v>0.37183774706129302</v>
      </c>
      <c r="R61" s="3">
        <v>0</v>
      </c>
      <c r="S61" s="3">
        <v>0</v>
      </c>
      <c r="T61" s="3">
        <v>0</v>
      </c>
      <c r="U61">
        <v>0</v>
      </c>
      <c r="V61" s="3">
        <f>G61+U61</f>
        <v>6.6982283464566903</v>
      </c>
      <c r="W61" s="7">
        <v>9.5500000000000007</v>
      </c>
      <c r="X61" s="7">
        <v>5.9950000000000001</v>
      </c>
      <c r="Y61" s="7">
        <v>7.1312499999999996</v>
      </c>
      <c r="Z61" s="7">
        <v>3.67</v>
      </c>
      <c r="AA61" s="7">
        <v>8.1999999999999993</v>
      </c>
      <c r="AB61" s="7">
        <v>8.3620000000000001</v>
      </c>
      <c r="AC61" s="7">
        <v>6.9039999999999999</v>
      </c>
      <c r="AD61" s="7">
        <v>5.5883330000000004</v>
      </c>
      <c r="AE61" s="7">
        <v>7.3650000000000002</v>
      </c>
      <c r="AF61" s="7">
        <v>6.1576919999999999</v>
      </c>
      <c r="AG61" s="7">
        <v>6.28</v>
      </c>
      <c r="AH61" s="7">
        <v>5.5562500000000004</v>
      </c>
      <c r="AI61" s="7">
        <v>6.387143</v>
      </c>
      <c r="AJ61" s="7">
        <v>6.931</v>
      </c>
      <c r="AK61" s="7">
        <v>8.0500000000000007</v>
      </c>
      <c r="AL61" s="7">
        <v>7.6779999999999999</v>
      </c>
      <c r="AM61" s="7">
        <v>6.202</v>
      </c>
      <c r="AN61" s="13">
        <v>5.92052044935677E-3</v>
      </c>
      <c r="AO61" s="13">
        <v>2.3932692904728701E-3</v>
      </c>
      <c r="AP61" s="13">
        <v>2.5922603454506801E-3</v>
      </c>
      <c r="AQ61" s="13">
        <v>2.5122492268304301E-3</v>
      </c>
      <c r="AR61" s="13">
        <v>2.4412465183101801E-3</v>
      </c>
      <c r="AS61" s="13">
        <v>2.2153514116365299E-3</v>
      </c>
      <c r="AT61" s="13">
        <v>1.9793742588189102E-3</v>
      </c>
      <c r="AU61" s="13">
        <v>2.1625220265710401E-3</v>
      </c>
      <c r="AV61" s="13">
        <v>1.9251156374358899E-3</v>
      </c>
      <c r="AW61" s="13">
        <v>1.8964505410862299E-3</v>
      </c>
      <c r="AX61" s="13">
        <v>1.8887391434835E-3</v>
      </c>
      <c r="AY61" s="13">
        <v>2.06998595033561E-3</v>
      </c>
      <c r="AZ61" s="13">
        <v>1.9824673960602201E-3</v>
      </c>
      <c r="BA61" s="13">
        <v>2.1573758179419698E-3</v>
      </c>
      <c r="BB61" s="13">
        <v>1.7965891277593601E-3</v>
      </c>
      <c r="BC61" s="13">
        <v>2.15172802677212E-3</v>
      </c>
      <c r="BD61" s="13">
        <v>2.12980460570139E-3</v>
      </c>
      <c r="BE61" s="8">
        <v>7.0874040000000003</v>
      </c>
      <c r="BF61" s="8">
        <v>6.6719999999999997</v>
      </c>
      <c r="BG61" s="8">
        <v>7.3804610000000004</v>
      </c>
      <c r="BH61" s="8">
        <v>7.5951829999999996</v>
      </c>
      <c r="BI61" s="8">
        <v>7.1202810000000003</v>
      </c>
      <c r="BJ61" s="8">
        <v>6.9947020000000002</v>
      </c>
      <c r="BK61" s="8">
        <v>6.7621079999999996</v>
      </c>
      <c r="BL61" s="8">
        <v>6.7778539999999996</v>
      </c>
      <c r="BM61" s="8">
        <v>6.7711110000000003</v>
      </c>
      <c r="BN61" s="8">
        <v>6.7717150000000004</v>
      </c>
      <c r="BO61" s="8">
        <v>6.9871470000000002</v>
      </c>
      <c r="BP61" s="8">
        <v>6.911969</v>
      </c>
      <c r="BQ61" s="8">
        <v>6.9491969999999998</v>
      </c>
      <c r="BR61" s="8">
        <v>7.133966</v>
      </c>
      <c r="BS61" s="8">
        <v>7.2328260000000002</v>
      </c>
      <c r="BT61" s="8">
        <v>6.9698880000000001</v>
      </c>
      <c r="BU61" s="8">
        <v>7.000896</v>
      </c>
    </row>
    <row r="62" spans="1:73" x14ac:dyDescent="0.25">
      <c r="A62" s="9" t="s">
        <v>193</v>
      </c>
      <c r="B62" s="5" t="s">
        <v>194</v>
      </c>
      <c r="C62" s="3">
        <v>0.18034748070671799</v>
      </c>
      <c r="D62" s="3">
        <v>1.39091521196766E-2</v>
      </c>
      <c r="E62" s="10">
        <v>2.446071160701631E-3</v>
      </c>
      <c r="F62" s="2">
        <v>8.8333048241712887E-3</v>
      </c>
      <c r="G62" s="2">
        <v>8.3133566433566308</v>
      </c>
      <c r="H62" s="5">
        <v>8.0429827653741306</v>
      </c>
      <c r="I62" s="2">
        <f t="shared" si="0"/>
        <v>0.27037387798250023</v>
      </c>
      <c r="J62">
        <v>1</v>
      </c>
      <c r="K62">
        <v>2</v>
      </c>
      <c r="L62" s="5">
        <v>4.6716565231151301E-2</v>
      </c>
      <c r="M62" s="5">
        <v>5.3636312326972503E-2</v>
      </c>
      <c r="N62" s="6">
        <v>18.644085631836401</v>
      </c>
      <c r="O62" s="3">
        <v>6.3809703734708298</v>
      </c>
      <c r="P62" s="3" t="s">
        <v>75</v>
      </c>
      <c r="Q62" s="3">
        <v>0.18034748070671799</v>
      </c>
      <c r="R62" s="3">
        <v>0</v>
      </c>
      <c r="S62" s="3">
        <v>0</v>
      </c>
      <c r="T62" s="3">
        <v>0</v>
      </c>
      <c r="U62">
        <v>0</v>
      </c>
      <c r="V62" s="3">
        <f>G62+U62</f>
        <v>8.3133566433566308</v>
      </c>
      <c r="W62" s="7">
        <v>8.5374999999999996</v>
      </c>
      <c r="X62" s="7">
        <v>7.84</v>
      </c>
      <c r="Y62" s="7">
        <v>8.5824999999999996</v>
      </c>
      <c r="Z62" s="7">
        <v>6.3550000000000004</v>
      </c>
      <c r="AA62" s="7">
        <v>0</v>
      </c>
      <c r="AB62" s="7">
        <v>8.65</v>
      </c>
      <c r="AC62" s="7">
        <v>7.7692860000000001</v>
      </c>
      <c r="AD62" s="7">
        <v>8.0071429999999992</v>
      </c>
      <c r="AE62" s="7">
        <v>7.609375</v>
      </c>
      <c r="AF62" s="7">
        <v>8.7750000000000004</v>
      </c>
      <c r="AG62" s="7">
        <v>8.7937499999999993</v>
      </c>
      <c r="AH62" s="7">
        <v>7.9666670000000002</v>
      </c>
      <c r="AI62" s="7">
        <v>8.3772730000000006</v>
      </c>
      <c r="AJ62" s="7">
        <v>8.6950000000000003</v>
      </c>
      <c r="AK62" s="7">
        <v>7.93</v>
      </c>
      <c r="AL62" s="7">
        <v>8.6140000000000008</v>
      </c>
      <c r="AM62" s="7">
        <v>9.5500000000000007</v>
      </c>
      <c r="AN62" s="13">
        <v>6.1219430275775604E-3</v>
      </c>
      <c r="AO62" s="13">
        <v>2.4746909281459701E-3</v>
      </c>
      <c r="AP62" s="13">
        <v>2.6804518763585698E-3</v>
      </c>
      <c r="AQ62" s="13">
        <v>2.5977186920117098E-3</v>
      </c>
      <c r="AR62" s="13">
        <v>2.5243003937247999E-3</v>
      </c>
      <c r="AS62" s="13">
        <v>2.29072008856516E-3</v>
      </c>
      <c r="AT62" s="13">
        <v>2.0467147350296702E-3</v>
      </c>
      <c r="AU62" s="13">
        <v>2.2360933900646899E-3</v>
      </c>
      <c r="AV62" s="13">
        <v>1.9906101760296399E-3</v>
      </c>
      <c r="AW62" s="13">
        <v>1.9609698617644201E-3</v>
      </c>
      <c r="AX62" s="13">
        <v>1.95299611398485E-3</v>
      </c>
      <c r="AY62" s="13">
        <v>2.1404091353518402E-3</v>
      </c>
      <c r="AZ62" s="13">
        <v>2.0499131041814499E-3</v>
      </c>
      <c r="BA62" s="13">
        <v>2.2307721017920199E-3</v>
      </c>
      <c r="BB62" s="13">
        <v>1.8577110539839501E-3</v>
      </c>
      <c r="BC62" s="13">
        <v>2.2249321665922099E-3</v>
      </c>
      <c r="BD62" s="13">
        <v>2.2022628867691498E-3</v>
      </c>
      <c r="BE62" s="8">
        <v>8.1609090000000002</v>
      </c>
      <c r="BF62" s="8">
        <v>7.8295760000000003</v>
      </c>
      <c r="BG62" s="8">
        <v>8.1760000000000002</v>
      </c>
      <c r="BH62" s="8">
        <v>8.1507609999999993</v>
      </c>
      <c r="BI62" s="8">
        <v>8.2039080000000002</v>
      </c>
      <c r="BJ62" s="8">
        <v>7.8445229999999997</v>
      </c>
      <c r="BK62" s="8">
        <v>7.7908090000000003</v>
      </c>
      <c r="BL62" s="8">
        <v>7.9098389999999998</v>
      </c>
      <c r="BM62" s="8">
        <v>7.9420650000000004</v>
      </c>
      <c r="BN62" s="8">
        <v>7.9955920000000003</v>
      </c>
      <c r="BO62" s="8">
        <v>8.0699660000000009</v>
      </c>
      <c r="BP62" s="8">
        <v>8.0808090000000004</v>
      </c>
      <c r="BQ62" s="8">
        <v>8.0436390000000006</v>
      </c>
      <c r="BR62" s="8">
        <v>8.0169320000000006</v>
      </c>
      <c r="BS62" s="8">
        <v>8.2634179999999997</v>
      </c>
      <c r="BT62" s="8">
        <v>8.1603929999999991</v>
      </c>
      <c r="BU62" s="8">
        <v>8.2901849999999992</v>
      </c>
    </row>
    <row r="63" spans="1:73" x14ac:dyDescent="0.25">
      <c r="A63" s="9" t="s">
        <v>195</v>
      </c>
      <c r="B63" s="5" t="s">
        <v>196</v>
      </c>
      <c r="C63" s="3">
        <v>0.35921468235790799</v>
      </c>
      <c r="D63" s="3">
        <v>7.8458283718293401E-2</v>
      </c>
      <c r="E63" s="10">
        <v>2.2852846032587978E-3</v>
      </c>
      <c r="F63" s="2">
        <v>9.9237906598566858E-4</v>
      </c>
      <c r="G63" s="2">
        <v>5.1849999999999996</v>
      </c>
      <c r="H63" s="5">
        <v>5.8234090909090899</v>
      </c>
      <c r="I63" s="2">
        <f t="shared" si="0"/>
        <v>-0.63840909090909026</v>
      </c>
      <c r="J63">
        <v>3</v>
      </c>
      <c r="K63">
        <v>2</v>
      </c>
      <c r="L63" s="5">
        <v>0.41943739759003501</v>
      </c>
      <c r="M63" s="5">
        <v>0.169064960558241</v>
      </c>
      <c r="N63" s="6">
        <v>5.9148861875226402</v>
      </c>
      <c r="O63" s="3">
        <v>5.5</v>
      </c>
      <c r="P63" s="3" t="s">
        <v>75</v>
      </c>
      <c r="Q63" s="3">
        <v>0.35921468235790799</v>
      </c>
      <c r="R63" s="3">
        <v>0</v>
      </c>
      <c r="S63" s="3">
        <v>0</v>
      </c>
      <c r="T63" s="3">
        <v>0</v>
      </c>
      <c r="U63">
        <v>4.8150000000000004</v>
      </c>
      <c r="V63" s="3">
        <f>G63+U63</f>
        <v>10</v>
      </c>
      <c r="W63" s="7">
        <v>0</v>
      </c>
      <c r="X63" s="7">
        <v>3.7</v>
      </c>
      <c r="Y63" s="7">
        <v>0</v>
      </c>
      <c r="Z63" s="7">
        <v>5.5</v>
      </c>
      <c r="AA63" s="7">
        <v>0</v>
      </c>
      <c r="AB63" s="7">
        <v>5.5</v>
      </c>
      <c r="AC63" s="7">
        <v>0</v>
      </c>
      <c r="AD63" s="7">
        <v>4.375</v>
      </c>
      <c r="AE63" s="7">
        <v>0</v>
      </c>
      <c r="AF63" s="7">
        <v>0</v>
      </c>
      <c r="AG63" s="7">
        <v>5.5</v>
      </c>
      <c r="AH63" s="7">
        <v>0</v>
      </c>
      <c r="AI63" s="7">
        <v>0</v>
      </c>
      <c r="AJ63" s="7">
        <v>0</v>
      </c>
      <c r="AK63" s="7">
        <v>7.5250000000000004</v>
      </c>
      <c r="AL63" s="7">
        <v>0</v>
      </c>
      <c r="AM63" s="7">
        <v>3.61</v>
      </c>
      <c r="AN63" s="13">
        <v>5.7195319448259804E-3</v>
      </c>
      <c r="AO63" s="13">
        <v>2.3120231196765398E-3</v>
      </c>
      <c r="AP63" s="13">
        <v>2.5042588708095201E-3</v>
      </c>
      <c r="AQ63" s="13">
        <v>2.4269639517556498E-3</v>
      </c>
      <c r="AR63" s="13">
        <v>2.3583716273097698E-3</v>
      </c>
      <c r="AS63" s="13">
        <v>2.1401451572128399E-3</v>
      </c>
      <c r="AT63" s="13">
        <v>1.91217890402034E-3</v>
      </c>
      <c r="AU63" s="13">
        <v>2.08910921230019E-3</v>
      </c>
      <c r="AV63" s="13">
        <v>1.8597622421851201E-3</v>
      </c>
      <c r="AW63" s="13">
        <v>1.83207026211753E-3</v>
      </c>
      <c r="AX63" s="13">
        <v>1.8246206493165299E-3</v>
      </c>
      <c r="AY63" s="13">
        <v>1.9997145300919899E-3</v>
      </c>
      <c r="AZ63" s="13">
        <v>1.9151670361301301E-3</v>
      </c>
      <c r="BA63" s="13">
        <v>2.0841377060110901E-3</v>
      </c>
      <c r="BB63" s="13">
        <v>1.7355989217237001E-3</v>
      </c>
      <c r="BC63" s="13">
        <v>2.07868164479317E-3</v>
      </c>
      <c r="BD63" s="13">
        <v>2.0575024751194101E-3</v>
      </c>
      <c r="BE63" s="8">
        <v>6.1749999999999998</v>
      </c>
      <c r="BF63" s="8">
        <v>4.3428570000000004</v>
      </c>
      <c r="BG63" s="8">
        <v>5.9594740000000002</v>
      </c>
      <c r="BH63" s="8">
        <v>5.9628569999999996</v>
      </c>
      <c r="BI63" s="8">
        <v>6.1054550000000001</v>
      </c>
      <c r="BJ63" s="8">
        <v>6.2705260000000003</v>
      </c>
      <c r="BK63" s="8">
        <v>5.5591429999999997</v>
      </c>
      <c r="BL63" s="8">
        <v>5.7682000000000002</v>
      </c>
      <c r="BM63" s="8">
        <v>6.3196430000000001</v>
      </c>
      <c r="BN63" s="8">
        <v>5.6219999999999999</v>
      </c>
      <c r="BO63" s="8">
        <v>5.7515910000000003</v>
      </c>
      <c r="BP63" s="8">
        <v>6.3906450000000001</v>
      </c>
      <c r="BQ63" s="8">
        <v>5.2378260000000001</v>
      </c>
      <c r="BR63" s="8">
        <v>5.5</v>
      </c>
      <c r="BS63" s="8">
        <v>6.1749999999999998</v>
      </c>
      <c r="BT63" s="8">
        <v>6.4562499999999998</v>
      </c>
      <c r="BU63" s="8">
        <v>5.14</v>
      </c>
    </row>
    <row r="64" spans="1:73" x14ac:dyDescent="0.25">
      <c r="A64" s="9" t="s">
        <v>197</v>
      </c>
      <c r="B64" s="5" t="s">
        <v>198</v>
      </c>
      <c r="C64" s="3">
        <v>0.34591010266436001</v>
      </c>
      <c r="D64" s="3">
        <v>6.0374432223169502E-2</v>
      </c>
      <c r="E64" s="10">
        <v>2.4661117450173499E-3</v>
      </c>
      <c r="F64" s="2">
        <v>1.4867522141139209E-3</v>
      </c>
      <c r="G64" s="2">
        <v>6.0306249999999997</v>
      </c>
      <c r="H64" s="5">
        <v>6.0947685624012697</v>
      </c>
      <c r="I64" s="2">
        <f t="shared" si="0"/>
        <v>-6.414356240127006E-2</v>
      </c>
      <c r="J64">
        <v>3</v>
      </c>
      <c r="K64">
        <v>2</v>
      </c>
      <c r="L64" s="5">
        <v>0.38107576216643302</v>
      </c>
      <c r="M64" s="5">
        <v>7.1655265359372305E-2</v>
      </c>
      <c r="N64" s="6">
        <v>13.9557085579783</v>
      </c>
      <c r="O64" s="3">
        <v>6.5395167810663501</v>
      </c>
      <c r="P64" s="3" t="s">
        <v>75</v>
      </c>
      <c r="Q64" s="3">
        <v>0.34591010266436001</v>
      </c>
      <c r="R64" s="3">
        <v>0</v>
      </c>
      <c r="S64" s="3">
        <v>0</v>
      </c>
      <c r="T64" s="3">
        <v>0</v>
      </c>
      <c r="U64">
        <v>0</v>
      </c>
      <c r="V64" s="3">
        <f>G64+U64</f>
        <v>6.0306249999999997</v>
      </c>
      <c r="W64" s="7">
        <v>5.5</v>
      </c>
      <c r="X64" s="7">
        <v>9.5500000000000007</v>
      </c>
      <c r="Y64" s="7">
        <v>7.5250000000000004</v>
      </c>
      <c r="Z64" s="7">
        <v>3.61</v>
      </c>
      <c r="AA64" s="7">
        <v>9.5500000000000007</v>
      </c>
      <c r="AB64" s="7">
        <v>4.5999999999999996</v>
      </c>
      <c r="AC64" s="7">
        <v>7.5250000000000004</v>
      </c>
      <c r="AD64" s="7">
        <v>5.5</v>
      </c>
      <c r="AE64" s="7">
        <v>4.5999999999999996</v>
      </c>
      <c r="AF64" s="7">
        <v>0</v>
      </c>
      <c r="AG64" s="7">
        <v>5.5</v>
      </c>
      <c r="AH64" s="7">
        <v>5.5</v>
      </c>
      <c r="AI64" s="7">
        <v>0</v>
      </c>
      <c r="AJ64" s="7">
        <v>0</v>
      </c>
      <c r="AK64" s="7">
        <v>7.5250000000000004</v>
      </c>
      <c r="AL64" s="7">
        <v>4.375</v>
      </c>
      <c r="AM64" s="7">
        <v>8.65</v>
      </c>
      <c r="AN64" s="13">
        <v>6.1720999148305901E-3</v>
      </c>
      <c r="AO64" s="13">
        <v>2.4949659933188998E-3</v>
      </c>
      <c r="AP64" s="13">
        <v>2.7024127345279501E-3</v>
      </c>
      <c r="AQ64" s="13">
        <v>2.6190017197960901E-3</v>
      </c>
      <c r="AR64" s="13">
        <v>2.5449819076935601E-3</v>
      </c>
      <c r="AS64" s="13">
        <v>2.30948788641836E-3</v>
      </c>
      <c r="AT64" s="13">
        <v>2.0634834046728699E-3</v>
      </c>
      <c r="AU64" s="13">
        <v>2.2544136330900598E-3</v>
      </c>
      <c r="AV64" s="13">
        <v>2.0069191827802898E-3</v>
      </c>
      <c r="AW64" s="13">
        <v>1.9770360263497498E-3</v>
      </c>
      <c r="AX64" s="13">
        <v>1.9689969499046699E-3</v>
      </c>
      <c r="AY64" s="13">
        <v>2.15794544027882E-3</v>
      </c>
      <c r="AZ64" s="13">
        <v>2.0667079779628302E-3</v>
      </c>
      <c r="BA64" s="13">
        <v>2.2490487476694498E-3</v>
      </c>
      <c r="BB64" s="13">
        <v>1.8729312223951301E-3</v>
      </c>
      <c r="BC64" s="13">
        <v>2.2431609660636702E-3</v>
      </c>
      <c r="BD64" s="13">
        <v>2.2203059575418801E-3</v>
      </c>
      <c r="BE64" s="8">
        <v>5.59</v>
      </c>
      <c r="BF64" s="8">
        <v>6.2445449999999996</v>
      </c>
      <c r="BG64" s="8">
        <v>6.0183999999999997</v>
      </c>
      <c r="BH64" s="8">
        <v>6.4128569999999998</v>
      </c>
      <c r="BI64" s="8">
        <v>7.0081429999999996</v>
      </c>
      <c r="BJ64" s="8">
        <v>6.0689289999999998</v>
      </c>
      <c r="BK64" s="8">
        <v>5.9077549999999999</v>
      </c>
      <c r="BL64" s="8">
        <v>6.2096720000000003</v>
      </c>
      <c r="BM64" s="8">
        <v>5.4122620000000001</v>
      </c>
      <c r="BN64" s="8">
        <v>6.3685710000000002</v>
      </c>
      <c r="BO64" s="8">
        <v>6.2726420000000003</v>
      </c>
      <c r="BP64" s="8">
        <v>5.5817750000000004</v>
      </c>
      <c r="BQ64" s="8">
        <v>6.4717779999999996</v>
      </c>
      <c r="BR64" s="8">
        <v>5.616136</v>
      </c>
      <c r="BS64" s="8">
        <v>6.7773079999999997</v>
      </c>
      <c r="BT64" s="8">
        <v>6.0135709999999998</v>
      </c>
      <c r="BU64" s="8">
        <v>6.1585000000000001</v>
      </c>
    </row>
    <row r="65" spans="1:73" x14ac:dyDescent="0.25">
      <c r="A65" s="9" t="s">
        <v>199</v>
      </c>
      <c r="B65" s="5" t="s">
        <v>200</v>
      </c>
      <c r="C65" s="3">
        <v>0.33326144861659202</v>
      </c>
      <c r="D65" s="3">
        <v>2.7429011563521399E-2</v>
      </c>
      <c r="E65" s="10">
        <v>2.3382836892099209E-3</v>
      </c>
      <c r="F65" s="2">
        <v>1.635848091564462E-3</v>
      </c>
      <c r="G65" s="2">
        <v>5.1353846153846199</v>
      </c>
      <c r="H65" s="5">
        <v>5.19756837098695</v>
      </c>
      <c r="I65" s="2">
        <f t="shared" si="0"/>
        <v>-6.2183755602330137E-2</v>
      </c>
      <c r="J65">
        <v>3</v>
      </c>
      <c r="K65">
        <v>2</v>
      </c>
      <c r="L65" s="5">
        <v>0.1267189136189</v>
      </c>
      <c r="M65" s="5">
        <v>7.8044597131395194E-2</v>
      </c>
      <c r="N65" s="6">
        <v>12.8131867772526</v>
      </c>
      <c r="O65" s="3">
        <v>6.3881366332513601</v>
      </c>
      <c r="P65" s="3" t="s">
        <v>75</v>
      </c>
      <c r="Q65" s="3">
        <v>0.33326144861659202</v>
      </c>
      <c r="R65" s="3">
        <v>0</v>
      </c>
      <c r="S65" s="3">
        <v>0</v>
      </c>
      <c r="T65" s="3">
        <v>0</v>
      </c>
      <c r="U65">
        <v>0</v>
      </c>
      <c r="V65" s="3">
        <f>G65+U65</f>
        <v>5.1353846153846199</v>
      </c>
      <c r="W65" s="7">
        <v>0</v>
      </c>
      <c r="X65" s="7">
        <v>7.57</v>
      </c>
      <c r="Y65" s="7">
        <v>3.61</v>
      </c>
      <c r="Z65" s="7">
        <v>4.1500000000000004</v>
      </c>
      <c r="AA65" s="7">
        <v>2.71</v>
      </c>
      <c r="AB65" s="7">
        <v>4.915</v>
      </c>
      <c r="AC65" s="7">
        <v>5.9950000000000001</v>
      </c>
      <c r="AD65" s="7">
        <v>4.5999999999999996</v>
      </c>
      <c r="AE65" s="7">
        <v>6.64</v>
      </c>
      <c r="AF65" s="7">
        <v>5.62</v>
      </c>
      <c r="AG65" s="7">
        <v>3.61</v>
      </c>
      <c r="AH65" s="7">
        <v>7.5250000000000004</v>
      </c>
      <c r="AI65" s="7">
        <v>3.2050000000000001</v>
      </c>
      <c r="AJ65" s="7">
        <v>3.25</v>
      </c>
      <c r="AK65" s="7">
        <v>3.25</v>
      </c>
      <c r="AL65" s="7">
        <v>2.71</v>
      </c>
      <c r="AM65" s="7">
        <v>5.65</v>
      </c>
      <c r="AN65" s="13">
        <v>5.8521762398567904E-3</v>
      </c>
      <c r="AO65" s="13">
        <v>2.3656423108556102E-3</v>
      </c>
      <c r="AP65" s="13">
        <v>2.5623362896783201E-3</v>
      </c>
      <c r="AQ65" s="13">
        <v>2.4832487886184001E-3</v>
      </c>
      <c r="AR65" s="13">
        <v>2.4130657080392499E-3</v>
      </c>
      <c r="AS65" s="13">
        <v>2.1897782475392099E-3</v>
      </c>
      <c r="AT65" s="13">
        <v>1.9565251241557102E-3</v>
      </c>
      <c r="AU65" s="13">
        <v>2.1375587045630298E-3</v>
      </c>
      <c r="AV65" s="13">
        <v>1.902892843416E-3</v>
      </c>
      <c r="AW65" s="13">
        <v>1.8745586459065699E-3</v>
      </c>
      <c r="AX65" s="13">
        <v>1.8669362657099599E-3</v>
      </c>
      <c r="AY65" s="13">
        <v>2.0460908291782898E-3</v>
      </c>
      <c r="AZ65" s="13">
        <v>1.9595825554111299E-3</v>
      </c>
      <c r="BA65" s="13">
        <v>2.13247190178581E-3</v>
      </c>
      <c r="BB65" s="13">
        <v>1.7758499943025499E-3</v>
      </c>
      <c r="BC65" s="13">
        <v>2.1268893065436302E-3</v>
      </c>
      <c r="BD65" s="13">
        <v>2.1052189610083001E-3</v>
      </c>
      <c r="BE65" s="8">
        <v>4.8004550000000004</v>
      </c>
      <c r="BF65" s="8">
        <v>5.9333330000000002</v>
      </c>
      <c r="BG65" s="8">
        <v>5.2017439999999997</v>
      </c>
      <c r="BH65" s="8">
        <v>5.6666670000000003</v>
      </c>
      <c r="BI65" s="8">
        <v>4.7631249999999996</v>
      </c>
      <c r="BJ65" s="8">
        <v>5.5060000000000002</v>
      </c>
      <c r="BK65" s="8">
        <v>4.8801300000000003</v>
      </c>
      <c r="BL65" s="8">
        <v>5.1300739999999996</v>
      </c>
      <c r="BM65" s="8">
        <v>5.5526270000000002</v>
      </c>
      <c r="BN65" s="8">
        <v>5.5036990000000001</v>
      </c>
      <c r="BO65" s="8">
        <v>5.1723439999999998</v>
      </c>
      <c r="BP65" s="8">
        <v>5.7706429999999997</v>
      </c>
      <c r="BQ65" s="8">
        <v>5.1120409999999996</v>
      </c>
      <c r="BR65" s="8">
        <v>5.015161</v>
      </c>
      <c r="BS65" s="8">
        <v>4.9998570000000004</v>
      </c>
      <c r="BT65" s="8">
        <v>4.6548780000000001</v>
      </c>
      <c r="BU65" s="8">
        <v>4.739592</v>
      </c>
    </row>
    <row r="66" spans="1:73" x14ac:dyDescent="0.25">
      <c r="A66" s="9" t="s">
        <v>201</v>
      </c>
      <c r="B66" s="5" t="s">
        <v>202</v>
      </c>
      <c r="C66" s="3">
        <v>0.28501451900552699</v>
      </c>
      <c r="D66" s="3">
        <v>1.4321607245019101E-2</v>
      </c>
      <c r="E66" s="10">
        <v>1.813231262467086E-3</v>
      </c>
      <c r="F66" s="2">
        <v>3.1426807277565136E-3</v>
      </c>
      <c r="G66" s="2">
        <v>6.1894</v>
      </c>
      <c r="H66" s="5">
        <v>5.4761170960186796</v>
      </c>
      <c r="I66" s="2">
        <f t="shared" ref="I66:I119" si="1">G66-H66</f>
        <v>0.71328290398132044</v>
      </c>
      <c r="J66">
        <v>6</v>
      </c>
      <c r="K66">
        <v>4</v>
      </c>
      <c r="L66" s="5">
        <v>0.10148782216789499</v>
      </c>
      <c r="M66" s="5">
        <v>6.6554080321573894E-2</v>
      </c>
      <c r="N66" s="6">
        <v>15.025374780452699</v>
      </c>
      <c r="O66" s="3">
        <v>6.3779818520225904</v>
      </c>
      <c r="P66" s="3" t="s">
        <v>75</v>
      </c>
      <c r="Q66" s="3">
        <v>0.28501451900552699</v>
      </c>
      <c r="R66" s="3">
        <v>0</v>
      </c>
      <c r="S66" s="3">
        <v>0</v>
      </c>
      <c r="T66" s="3">
        <v>0</v>
      </c>
      <c r="U66">
        <v>0</v>
      </c>
      <c r="V66" s="3">
        <f>G66+U66</f>
        <v>6.1894</v>
      </c>
      <c r="W66" s="7">
        <v>3.3174999999999999</v>
      </c>
      <c r="X66" s="7">
        <v>2.8</v>
      </c>
      <c r="Y66" s="7">
        <v>0</v>
      </c>
      <c r="Z66" s="7">
        <v>9.5500000000000007</v>
      </c>
      <c r="AA66" s="7">
        <v>9.5500000000000007</v>
      </c>
      <c r="AB66" s="7">
        <v>0</v>
      </c>
      <c r="AC66" s="7">
        <v>1.9</v>
      </c>
      <c r="AD66" s="7">
        <v>9.5500000000000007</v>
      </c>
      <c r="AE66" s="7">
        <v>5.7249999999999996</v>
      </c>
      <c r="AF66" s="7">
        <v>0</v>
      </c>
      <c r="AG66" s="7">
        <v>3.25</v>
      </c>
      <c r="AH66" s="7">
        <v>9.5500000000000007</v>
      </c>
      <c r="AI66" s="7">
        <v>0</v>
      </c>
      <c r="AJ66" s="7">
        <v>5.1624999999999996</v>
      </c>
      <c r="AK66" s="7">
        <v>7.15</v>
      </c>
      <c r="AL66" s="7">
        <v>6.85</v>
      </c>
      <c r="AM66" s="7">
        <v>9.5500000000000007</v>
      </c>
      <c r="AN66" s="13">
        <v>4.5380930297473296E-3</v>
      </c>
      <c r="AO66" s="13">
        <v>1.8344466129803199E-3</v>
      </c>
      <c r="AP66" s="13">
        <v>1.9869737307061002E-3</v>
      </c>
      <c r="AQ66" s="13">
        <v>1.92564501766157E-3</v>
      </c>
      <c r="AR66" s="13">
        <v>1.87122127242074E-3</v>
      </c>
      <c r="AS66" s="13">
        <v>1.6980721349726801E-3</v>
      </c>
      <c r="AT66" s="13">
        <v>1.51719508513535E-3</v>
      </c>
      <c r="AU66" s="13">
        <v>1.65757828545687E-3</v>
      </c>
      <c r="AV66" s="13">
        <v>1.4756057225770701E-3</v>
      </c>
      <c r="AW66" s="13">
        <v>1.4536338579320301E-3</v>
      </c>
      <c r="AX66" s="13">
        <v>1.4477230532975601E-3</v>
      </c>
      <c r="AY66" s="13">
        <v>1.58664916256028E-3</v>
      </c>
      <c r="AZ66" s="13">
        <v>1.5195659822000399E-3</v>
      </c>
      <c r="BA66" s="13">
        <v>1.6536337042821201E-3</v>
      </c>
      <c r="BB66" s="13">
        <v>1.37708984670264E-3</v>
      </c>
      <c r="BC66" s="13">
        <v>1.6493046588948799E-3</v>
      </c>
      <c r="BD66" s="13">
        <v>1.6325003044128201E-3</v>
      </c>
      <c r="BE66" s="8">
        <v>5.2089999999999996</v>
      </c>
      <c r="BF66" s="8">
        <v>5.1365049999999997</v>
      </c>
      <c r="BG66" s="8">
        <v>5.904579</v>
      </c>
      <c r="BH66" s="8">
        <v>6.4852990000000004</v>
      </c>
      <c r="BI66" s="8">
        <v>5.9389729999999998</v>
      </c>
      <c r="BJ66" s="8">
        <v>5.678026</v>
      </c>
      <c r="BK66" s="8">
        <v>5.2833259999999997</v>
      </c>
      <c r="BL66" s="8">
        <v>5.3468629999999999</v>
      </c>
      <c r="BM66" s="8">
        <v>5.5488280000000003</v>
      </c>
      <c r="BN66" s="8">
        <v>5.322946</v>
      </c>
      <c r="BO66" s="8">
        <v>5.377866</v>
      </c>
      <c r="BP66" s="8">
        <v>5.6579949999999997</v>
      </c>
      <c r="BQ66" s="8">
        <v>5.434202</v>
      </c>
      <c r="BR66" s="8">
        <v>4.7253160000000003</v>
      </c>
      <c r="BS66" s="8">
        <v>5.1316179999999996</v>
      </c>
      <c r="BT66" s="8">
        <v>5.5879779999999997</v>
      </c>
      <c r="BU66" s="8">
        <v>5.361154</v>
      </c>
    </row>
    <row r="67" spans="1:73" x14ac:dyDescent="0.25">
      <c r="A67" s="9" t="s">
        <v>203</v>
      </c>
      <c r="B67" s="5" t="s">
        <v>204</v>
      </c>
      <c r="C67" s="3">
        <v>0.29100107502572597</v>
      </c>
      <c r="D67" s="3">
        <v>2.7855378533979701E-2</v>
      </c>
      <c r="E67" s="10">
        <v>1.8513170784746731E-3</v>
      </c>
      <c r="F67" s="2">
        <v>1.9458636419229936E-3</v>
      </c>
      <c r="G67" s="2">
        <v>6.5876470588235296</v>
      </c>
      <c r="H67" s="5">
        <v>5.6441304347826096</v>
      </c>
      <c r="I67" s="2">
        <f t="shared" si="1"/>
        <v>0.94351662404092007</v>
      </c>
      <c r="J67">
        <v>6</v>
      </c>
      <c r="K67">
        <v>4</v>
      </c>
      <c r="L67" s="5">
        <v>0.34486956752169701</v>
      </c>
      <c r="M67" s="5">
        <v>0.113124684825226</v>
      </c>
      <c r="N67" s="6">
        <v>8.8398036338838697</v>
      </c>
      <c r="O67" s="3">
        <v>7.2562574907484398</v>
      </c>
      <c r="P67" s="3" t="s">
        <v>75</v>
      </c>
      <c r="Q67" s="3">
        <v>0.29100107502572597</v>
      </c>
      <c r="R67" s="3">
        <v>0</v>
      </c>
      <c r="S67" s="3">
        <v>0</v>
      </c>
      <c r="T67" s="3">
        <v>0</v>
      </c>
      <c r="U67">
        <v>0</v>
      </c>
      <c r="V67" s="3">
        <f>G67+U67</f>
        <v>6.5876470588235296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9.5500000000000007</v>
      </c>
      <c r="AC67" s="7">
        <v>8.2899999999999991</v>
      </c>
      <c r="AD67" s="7">
        <v>3.7</v>
      </c>
      <c r="AE67" s="7">
        <v>0</v>
      </c>
      <c r="AF67" s="7">
        <v>9.5500000000000007</v>
      </c>
      <c r="AG67" s="7">
        <v>0</v>
      </c>
      <c r="AH67" s="7">
        <v>5.5</v>
      </c>
      <c r="AI67" s="7">
        <v>4.5549999999999997</v>
      </c>
      <c r="AJ67" s="7">
        <v>6.625</v>
      </c>
      <c r="AK67" s="7">
        <v>4.8833330000000004</v>
      </c>
      <c r="AL67" s="7">
        <v>7.0750000000000002</v>
      </c>
      <c r="AM67" s="7">
        <v>0</v>
      </c>
      <c r="AN67" s="13">
        <v>4.6334129041251297E-3</v>
      </c>
      <c r="AO67" s="13">
        <v>1.8729780444771799E-3</v>
      </c>
      <c r="AP67" s="13">
        <v>2.0287089012196598E-3</v>
      </c>
      <c r="AQ67" s="13">
        <v>1.9660920159880798E-3</v>
      </c>
      <c r="AR67" s="13">
        <v>1.9105251331946399E-3</v>
      </c>
      <c r="AS67" s="13">
        <v>1.7337391037917499E-3</v>
      </c>
      <c r="AT67" s="13">
        <v>1.54906284191639E-3</v>
      </c>
      <c r="AU67" s="13">
        <v>1.69239470568127E-3</v>
      </c>
      <c r="AV67" s="13">
        <v>1.5065999201806001E-3</v>
      </c>
      <c r="AW67" s="13">
        <v>1.4841665499286799E-3</v>
      </c>
      <c r="AX67" s="13">
        <v>1.4781315924503699E-3</v>
      </c>
      <c r="AY67" s="13">
        <v>1.61997575984806E-3</v>
      </c>
      <c r="AZ67" s="13">
        <v>1.5514835382269001E-3</v>
      </c>
      <c r="BA67" s="13">
        <v>1.68836727098643E-3</v>
      </c>
      <c r="BB67" s="13">
        <v>1.40601477846015E-3</v>
      </c>
      <c r="BC67" s="13">
        <v>1.6839472966429601E-3</v>
      </c>
      <c r="BD67" s="13">
        <v>1.6667899769511199E-3</v>
      </c>
      <c r="BE67" s="8">
        <v>5.3445450000000001</v>
      </c>
      <c r="BF67" s="8">
        <v>5.9834290000000001</v>
      </c>
      <c r="BG67" s="8">
        <v>5.3527269999999998</v>
      </c>
      <c r="BH67" s="8">
        <v>6.5549999999999997</v>
      </c>
      <c r="BI67" s="8">
        <v>5.7129029999999998</v>
      </c>
      <c r="BJ67" s="8">
        <v>5.7024999999999997</v>
      </c>
      <c r="BK67" s="8">
        <v>5.7419399999999996</v>
      </c>
      <c r="BL67" s="8">
        <v>5.4602360000000001</v>
      </c>
      <c r="BM67" s="8">
        <v>5.7206849999999996</v>
      </c>
      <c r="BN67" s="8">
        <v>5.7171640000000004</v>
      </c>
      <c r="BO67" s="8">
        <v>5.1383640000000002</v>
      </c>
      <c r="BP67" s="8">
        <v>5.8031579999999998</v>
      </c>
      <c r="BQ67" s="8">
        <v>5.6677270000000002</v>
      </c>
      <c r="BR67" s="8">
        <v>5.9190630000000004</v>
      </c>
      <c r="BS67" s="8">
        <v>5.232742</v>
      </c>
      <c r="BT67" s="8">
        <v>5.8964290000000004</v>
      </c>
      <c r="BU67" s="8">
        <v>5.1849999999999996</v>
      </c>
    </row>
    <row r="68" spans="1:73" x14ac:dyDescent="0.25">
      <c r="A68" s="9" t="s">
        <v>205</v>
      </c>
      <c r="B68" s="5" t="s">
        <v>206</v>
      </c>
      <c r="C68" s="3">
        <v>0.18778657237888</v>
      </c>
      <c r="D68" s="3">
        <v>1.2180096318225499E-2</v>
      </c>
      <c r="E68" s="10">
        <v>1.1946776778144429E-3</v>
      </c>
      <c r="F68" s="2">
        <v>5.0616877871432122E-3</v>
      </c>
      <c r="G68" s="2">
        <v>5.5916071428571401</v>
      </c>
      <c r="H68" s="5">
        <v>6.0085789313286302</v>
      </c>
      <c r="I68" s="2">
        <f t="shared" si="1"/>
        <v>-0.41697178847149008</v>
      </c>
      <c r="J68">
        <v>7</v>
      </c>
      <c r="K68">
        <v>4</v>
      </c>
      <c r="L68" s="5">
        <v>5.1665584331214202E-2</v>
      </c>
      <c r="M68" s="5">
        <v>6.8331945876198702E-2</v>
      </c>
      <c r="N68" s="6">
        <v>14.6344434828735</v>
      </c>
      <c r="O68" s="3">
        <v>6.3865710096489199</v>
      </c>
      <c r="P68" s="3" t="s">
        <v>75</v>
      </c>
      <c r="Q68" s="3">
        <v>0.18778657237888</v>
      </c>
      <c r="R68" s="3">
        <v>0</v>
      </c>
      <c r="S68" s="3">
        <v>0</v>
      </c>
      <c r="T68" s="3">
        <v>0</v>
      </c>
      <c r="U68">
        <v>0</v>
      </c>
      <c r="V68" s="3">
        <f>G68+U68</f>
        <v>5.5916071428571401</v>
      </c>
      <c r="W68" s="7">
        <v>4.75</v>
      </c>
      <c r="X68" s="7">
        <v>5.42</v>
      </c>
      <c r="Y68" s="7">
        <v>5.59</v>
      </c>
      <c r="Z68" s="7">
        <v>4.9240000000000004</v>
      </c>
      <c r="AA68" s="7">
        <v>4.4649999999999999</v>
      </c>
      <c r="AB68" s="7">
        <v>4.440455</v>
      </c>
      <c r="AC68" s="7">
        <v>5.6145449999999997</v>
      </c>
      <c r="AD68" s="7">
        <v>6.8333329999999997</v>
      </c>
      <c r="AE68" s="7">
        <v>5.5762499999999999</v>
      </c>
      <c r="AF68" s="7">
        <v>5.9275000000000002</v>
      </c>
      <c r="AG68" s="7">
        <v>6.75</v>
      </c>
      <c r="AH68" s="7">
        <v>4.7387499999999996</v>
      </c>
      <c r="AI68" s="7">
        <v>5.6542859999999999</v>
      </c>
      <c r="AJ68" s="7">
        <v>5.39</v>
      </c>
      <c r="AK68" s="7">
        <v>5.1937499999999996</v>
      </c>
      <c r="AL68" s="7">
        <v>6.3550000000000004</v>
      </c>
      <c r="AM68" s="7">
        <v>5.3250000000000002</v>
      </c>
      <c r="AN68" s="13">
        <v>2.9899983276859398E-3</v>
      </c>
      <c r="AO68" s="13">
        <v>1.20865576555747E-3</v>
      </c>
      <c r="AP68" s="13">
        <v>1.30915080255591E-3</v>
      </c>
      <c r="AQ68" s="13">
        <v>1.26874335646782E-3</v>
      </c>
      <c r="AR68" s="13">
        <v>1.2328853636523801E-3</v>
      </c>
      <c r="AS68" s="13">
        <v>1.11880316480446E-3</v>
      </c>
      <c r="AT68" s="13">
        <v>9.996293019097931E-4</v>
      </c>
      <c r="AU68" s="13">
        <v>1.0921231162597999E-3</v>
      </c>
      <c r="AV68" s="13">
        <v>9.7222745631437603E-4</v>
      </c>
      <c r="AW68" s="13">
        <v>9.5775092661034504E-4</v>
      </c>
      <c r="AX68" s="13">
        <v>9.5385649433306103E-4</v>
      </c>
      <c r="AY68" s="13">
        <v>1.0453902799219699E-3</v>
      </c>
      <c r="AZ68" s="13">
        <v>1.0011914070081401E-3</v>
      </c>
      <c r="BA68" s="13">
        <v>1.08952416312275E-3</v>
      </c>
      <c r="BB68" s="13">
        <v>9.0731862738905895E-4</v>
      </c>
      <c r="BC68" s="13">
        <v>1.08667189932307E-3</v>
      </c>
      <c r="BD68" s="13">
        <v>1.0756000699291301E-3</v>
      </c>
      <c r="BE68" s="8">
        <v>5.4629370000000002</v>
      </c>
      <c r="BF68" s="8">
        <v>6.2730490000000003</v>
      </c>
      <c r="BG68" s="8">
        <v>6.2930289999999998</v>
      </c>
      <c r="BH68" s="8">
        <v>6.1215029999999997</v>
      </c>
      <c r="BI68" s="8">
        <v>5.6797849999999999</v>
      </c>
      <c r="BJ68" s="8">
        <v>5.8254799999999998</v>
      </c>
      <c r="BK68" s="8">
        <v>5.9541649999999997</v>
      </c>
      <c r="BL68" s="8">
        <v>6.218051</v>
      </c>
      <c r="BM68" s="8">
        <v>6.0339479999999996</v>
      </c>
      <c r="BN68" s="8">
        <v>5.9466530000000004</v>
      </c>
      <c r="BO68" s="8">
        <v>6.1248740000000002</v>
      </c>
      <c r="BP68" s="8">
        <v>6.0406069999999996</v>
      </c>
      <c r="BQ68" s="8">
        <v>6.1019439999999996</v>
      </c>
      <c r="BR68" s="8">
        <v>5.8502619999999999</v>
      </c>
      <c r="BS68" s="8">
        <v>5.7698499999999999</v>
      </c>
      <c r="BT68" s="8">
        <v>5.8019930000000004</v>
      </c>
      <c r="BU68" s="8">
        <v>5.8290790000000001</v>
      </c>
    </row>
    <row r="69" spans="1:73" x14ac:dyDescent="0.25">
      <c r="A69" s="9" t="s">
        <v>207</v>
      </c>
      <c r="B69" s="5" t="s">
        <v>208</v>
      </c>
      <c r="C69" s="3">
        <v>0.35521149331916901</v>
      </c>
      <c r="D69" s="3">
        <v>3.0313952718289999E-2</v>
      </c>
      <c r="E69" s="10">
        <v>2.2598167515158959E-3</v>
      </c>
      <c r="F69" s="2">
        <v>1.8502613351293943E-3</v>
      </c>
      <c r="G69" s="2">
        <v>4.8831818181818196</v>
      </c>
      <c r="H69" s="5">
        <v>5.2512350505979697</v>
      </c>
      <c r="I69" s="2">
        <f t="shared" si="1"/>
        <v>-0.36805323241615007</v>
      </c>
      <c r="J69">
        <v>3</v>
      </c>
      <c r="K69">
        <v>2</v>
      </c>
      <c r="L69" s="5">
        <v>0.224938173379815</v>
      </c>
      <c r="M69" s="5">
        <v>6.2686829763601598E-2</v>
      </c>
      <c r="N69" s="6">
        <v>15.952314126764801</v>
      </c>
      <c r="O69" s="3">
        <v>6.5065232922248804</v>
      </c>
      <c r="P69" s="3" t="s">
        <v>75</v>
      </c>
      <c r="Q69" s="3">
        <v>0.35521149331916901</v>
      </c>
      <c r="R69" s="3">
        <v>0</v>
      </c>
      <c r="S69" s="3">
        <v>0</v>
      </c>
      <c r="T69" s="3">
        <v>0</v>
      </c>
      <c r="U69">
        <v>0</v>
      </c>
      <c r="V69" s="3">
        <f>G69+U69</f>
        <v>4.8831818181818196</v>
      </c>
      <c r="W69" s="7">
        <v>3.7</v>
      </c>
      <c r="X69" s="7">
        <v>5.7519999999999998</v>
      </c>
      <c r="Y69" s="7">
        <v>4.375</v>
      </c>
      <c r="Z69" s="7">
        <v>0</v>
      </c>
      <c r="AA69" s="7">
        <v>4.8849999999999998</v>
      </c>
      <c r="AB69" s="7">
        <v>3.7360000000000002</v>
      </c>
      <c r="AC69" s="7">
        <v>3.8537499999999998</v>
      </c>
      <c r="AD69" s="7">
        <v>5.95</v>
      </c>
      <c r="AE69" s="7">
        <v>5.5</v>
      </c>
      <c r="AF69" s="7">
        <v>6.16</v>
      </c>
      <c r="AG69" s="7">
        <v>5.95</v>
      </c>
      <c r="AH69" s="7">
        <v>4.6449999999999996</v>
      </c>
      <c r="AI69" s="7">
        <v>4</v>
      </c>
      <c r="AJ69" s="7">
        <v>3.61</v>
      </c>
      <c r="AK69" s="7">
        <v>3.7</v>
      </c>
      <c r="AL69" s="7">
        <v>3.6549999999999998</v>
      </c>
      <c r="AM69" s="7">
        <v>7.75</v>
      </c>
      <c r="AN69" s="13">
        <v>5.6557918787519803E-3</v>
      </c>
      <c r="AO69" s="13">
        <v>2.2862572864170302E-3</v>
      </c>
      <c r="AP69" s="13">
        <v>2.47635070849281E-3</v>
      </c>
      <c r="AQ69" s="13">
        <v>2.39991718566772E-3</v>
      </c>
      <c r="AR69" s="13">
        <v>2.33208927329866E-3</v>
      </c>
      <c r="AS69" s="13">
        <v>2.1162947801112398E-3</v>
      </c>
      <c r="AT69" s="13">
        <v>1.89086904669926E-3</v>
      </c>
      <c r="AU69" s="13">
        <v>2.0658275940642302E-3</v>
      </c>
      <c r="AV69" s="13">
        <v>1.83903653082581E-3</v>
      </c>
      <c r="AW69" s="13">
        <v>1.81165315794081E-3</v>
      </c>
      <c r="AX69" s="13">
        <v>1.8042865657115501E-3</v>
      </c>
      <c r="AY69" s="13">
        <v>1.97742915123463E-3</v>
      </c>
      <c r="AZ69" s="13">
        <v>1.8938238782278201E-3</v>
      </c>
      <c r="BA69" s="13">
        <v>2.0609114916337701E-3</v>
      </c>
      <c r="BB69" s="13">
        <v>1.71625692118662E-3</v>
      </c>
      <c r="BC69" s="13">
        <v>2.05551623429035E-3</v>
      </c>
      <c r="BD69" s="13">
        <v>2.03457309121586E-3</v>
      </c>
      <c r="BE69" s="8">
        <v>5.7781820000000002</v>
      </c>
      <c r="BF69" s="8">
        <v>5.1545589999999999</v>
      </c>
      <c r="BG69" s="8">
        <v>5.7181519999999999</v>
      </c>
      <c r="BH69" s="8">
        <v>4.592174</v>
      </c>
      <c r="BI69" s="8">
        <v>5.3929729999999996</v>
      </c>
      <c r="BJ69" s="8">
        <v>5.1368970000000003</v>
      </c>
      <c r="BK69" s="8">
        <v>4.9873849999999997</v>
      </c>
      <c r="BL69" s="8">
        <v>5.3354999999999997</v>
      </c>
      <c r="BM69" s="8">
        <v>4.9987659999999998</v>
      </c>
      <c r="BN69" s="8">
        <v>5.4221880000000002</v>
      </c>
      <c r="BO69" s="8">
        <v>5.6322999999999999</v>
      </c>
      <c r="BP69" s="8">
        <v>5.1327610000000004</v>
      </c>
      <c r="BQ69" s="8">
        <v>5.247547</v>
      </c>
      <c r="BR69" s="8">
        <v>5.1272089999999997</v>
      </c>
      <c r="BS69" s="8">
        <v>5.2125810000000001</v>
      </c>
      <c r="BT69" s="8">
        <v>5.0145739999999996</v>
      </c>
      <c r="BU69" s="8">
        <v>5.5595239999999997</v>
      </c>
    </row>
    <row r="70" spans="1:73" x14ac:dyDescent="0.25">
      <c r="A70" s="9" t="s">
        <v>209</v>
      </c>
      <c r="B70" s="5" t="s">
        <v>210</v>
      </c>
      <c r="C70" s="3">
        <v>0.31188717107439901</v>
      </c>
      <c r="D70" s="3">
        <v>1.09347041069775E-2</v>
      </c>
      <c r="E70" s="10">
        <v>1.98419214195735E-3</v>
      </c>
      <c r="F70" s="2">
        <v>6.6588173103073155E-3</v>
      </c>
      <c r="G70" s="2">
        <v>7.3848466257668601</v>
      </c>
      <c r="H70" s="5">
        <v>6.5622039155299703</v>
      </c>
      <c r="I70" s="2">
        <f t="shared" si="1"/>
        <v>0.82264271023688984</v>
      </c>
      <c r="J70">
        <v>6</v>
      </c>
      <c r="K70">
        <v>4</v>
      </c>
      <c r="L70" s="5">
        <v>5.2791566343926601E-2</v>
      </c>
      <c r="M70" s="5">
        <v>5.1182539287980902E-2</v>
      </c>
      <c r="N70" s="6">
        <v>19.537913005321101</v>
      </c>
      <c r="O70" s="3">
        <v>6.8643463879349396</v>
      </c>
      <c r="P70" s="3" t="s">
        <v>75</v>
      </c>
      <c r="Q70" s="3">
        <v>0.31188717107439901</v>
      </c>
      <c r="R70" s="3">
        <v>0</v>
      </c>
      <c r="S70" s="3">
        <v>0</v>
      </c>
      <c r="T70" s="3">
        <v>0</v>
      </c>
      <c r="U70">
        <v>0</v>
      </c>
      <c r="V70" s="3">
        <f>G70+U70</f>
        <v>7.3848466257668601</v>
      </c>
      <c r="W70" s="7">
        <v>7.4012500000000001</v>
      </c>
      <c r="X70" s="7">
        <v>7.45</v>
      </c>
      <c r="Y70" s="7">
        <v>7.2357139999999998</v>
      </c>
      <c r="Z70" s="7">
        <v>7.9749999999999996</v>
      </c>
      <c r="AA70" s="7">
        <v>9.5500000000000007</v>
      </c>
      <c r="AB70" s="7">
        <v>8.875</v>
      </c>
      <c r="AC70" s="7">
        <v>6.2919999999999998</v>
      </c>
      <c r="AD70" s="7">
        <v>6.2312500000000002</v>
      </c>
      <c r="AE70" s="7">
        <v>8.3631250000000001</v>
      </c>
      <c r="AF70" s="7">
        <v>8.89</v>
      </c>
      <c r="AG70" s="7">
        <v>8.0250000000000004</v>
      </c>
      <c r="AH70" s="7">
        <v>7.2640000000000002</v>
      </c>
      <c r="AI70" s="7">
        <v>6.67</v>
      </c>
      <c r="AJ70" s="7">
        <v>8.21875</v>
      </c>
      <c r="AK70" s="7">
        <v>5.0679999999999996</v>
      </c>
      <c r="AL70" s="7">
        <v>6.4359999999999999</v>
      </c>
      <c r="AM70" s="7">
        <v>6.2649999999999997</v>
      </c>
      <c r="AN70" s="13">
        <v>4.9659680568515099E-3</v>
      </c>
      <c r="AO70" s="13">
        <v>2.0074077861217698E-3</v>
      </c>
      <c r="AP70" s="13">
        <v>2.17431595425864E-3</v>
      </c>
      <c r="AQ70" s="13">
        <v>2.1072048509933302E-3</v>
      </c>
      <c r="AR70" s="13">
        <v>2.0476497518297399E-3</v>
      </c>
      <c r="AS70" s="13">
        <v>1.85817521263407E-3</v>
      </c>
      <c r="AT70" s="13">
        <v>1.66024413325298E-3</v>
      </c>
      <c r="AU70" s="13">
        <v>1.8138633922557101E-3</v>
      </c>
      <c r="AV70" s="13">
        <v>1.6147335091614499E-3</v>
      </c>
      <c r="AW70" s="13">
        <v>1.59069002277598E-3</v>
      </c>
      <c r="AX70" s="13">
        <v>1.58422191672071E-3</v>
      </c>
      <c r="AY70" s="13">
        <v>1.73624670253691E-3</v>
      </c>
      <c r="AZ70" s="13">
        <v>1.6628385708310899E-3</v>
      </c>
      <c r="BA70" s="13">
        <v>1.8095468954401901E-3</v>
      </c>
      <c r="BB70" s="13">
        <v>1.50692904383245E-3</v>
      </c>
      <c r="BC70" s="13">
        <v>1.8048096851254699E-3</v>
      </c>
      <c r="BD70" s="13">
        <v>1.78642092865289E-3</v>
      </c>
      <c r="BE70" s="8">
        <v>6.6772169999999997</v>
      </c>
      <c r="BF70" s="8">
        <v>6.594735</v>
      </c>
      <c r="BG70" s="8">
        <v>6.9981350000000004</v>
      </c>
      <c r="BH70" s="8">
        <v>6.7888780000000004</v>
      </c>
      <c r="BI70" s="8">
        <v>6.2831400000000004</v>
      </c>
      <c r="BJ70" s="8">
        <v>6.5464900000000004</v>
      </c>
      <c r="BK70" s="8">
        <v>6.3517950000000001</v>
      </c>
      <c r="BL70" s="8">
        <v>6.1336560000000002</v>
      </c>
      <c r="BM70" s="8">
        <v>6.3952689999999999</v>
      </c>
      <c r="BN70" s="8">
        <v>6.5919610000000004</v>
      </c>
      <c r="BO70" s="8">
        <v>6.491517</v>
      </c>
      <c r="BP70" s="8">
        <v>6.5264740000000003</v>
      </c>
      <c r="BQ70" s="8">
        <v>6.4460459999999999</v>
      </c>
      <c r="BR70" s="8">
        <v>6.9682630000000003</v>
      </c>
      <c r="BS70" s="8">
        <v>6.5217700000000001</v>
      </c>
      <c r="BT70" s="8">
        <v>6.7097920000000002</v>
      </c>
      <c r="BU70" s="8">
        <v>6.8124070000000003</v>
      </c>
    </row>
    <row r="71" spans="1:73" x14ac:dyDescent="0.25">
      <c r="A71" s="9" t="s">
        <v>211</v>
      </c>
      <c r="B71" s="5" t="s">
        <v>212</v>
      </c>
      <c r="C71" s="3">
        <v>0.17197669050277101</v>
      </c>
      <c r="D71" s="3">
        <v>4.2167536007790302E-2</v>
      </c>
      <c r="E71" s="10">
        <v>9.5557929722319779E-4</v>
      </c>
      <c r="F71" s="2">
        <v>1.7048519059718816E-3</v>
      </c>
      <c r="G71" s="2">
        <v>8.4045454545454508</v>
      </c>
      <c r="H71" s="5">
        <v>7.2725399361022296</v>
      </c>
      <c r="I71" s="2">
        <f t="shared" si="1"/>
        <v>1.1320055184432212</v>
      </c>
      <c r="J71">
        <v>6</v>
      </c>
      <c r="K71">
        <v>4</v>
      </c>
      <c r="L71" s="5">
        <v>0.64629795384390598</v>
      </c>
      <c r="M71" s="5">
        <v>0.17889191293319401</v>
      </c>
      <c r="N71" s="6">
        <v>5.5899676156598703</v>
      </c>
      <c r="O71" s="3">
        <v>9.5500000000000007</v>
      </c>
      <c r="P71" s="3" t="s">
        <v>78</v>
      </c>
      <c r="Q71" s="3">
        <v>9.2670818701991493</v>
      </c>
      <c r="R71" s="3">
        <v>1.9560141264168499E-2</v>
      </c>
      <c r="S71" s="3">
        <v>0</v>
      </c>
      <c r="T71" s="3">
        <v>9.35071605338046E-3</v>
      </c>
      <c r="U71">
        <v>0</v>
      </c>
      <c r="V71" s="3">
        <f>G71+U71</f>
        <v>8.4045454545454508</v>
      </c>
      <c r="W71" s="7">
        <v>8.1999999999999993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5.5</v>
      </c>
      <c r="AE71" s="7">
        <v>0</v>
      </c>
      <c r="AF71" s="7">
        <v>9.5500000000000007</v>
      </c>
      <c r="AG71" s="7">
        <v>0</v>
      </c>
      <c r="AH71" s="7">
        <v>0</v>
      </c>
      <c r="AI71" s="7">
        <v>9.5500000000000007</v>
      </c>
      <c r="AJ71" s="7">
        <v>5.05</v>
      </c>
      <c r="AK71" s="7">
        <v>0</v>
      </c>
      <c r="AL71" s="7">
        <v>0</v>
      </c>
      <c r="AM71" s="7">
        <v>9.5500000000000007</v>
      </c>
      <c r="AN71" s="13">
        <v>2.3915910991955799E-3</v>
      </c>
      <c r="AO71" s="13">
        <v>9.6675986208186995E-4</v>
      </c>
      <c r="AP71" s="13">
        <v>1.04714219332712E-3</v>
      </c>
      <c r="AQ71" s="13">
        <v>1.01482174434536E-3</v>
      </c>
      <c r="AR71" s="13">
        <v>9.8614023785141298E-4</v>
      </c>
      <c r="AS71" s="13">
        <v>8.94890029175714E-4</v>
      </c>
      <c r="AT71" s="13">
        <v>7.9956718330100095E-4</v>
      </c>
      <c r="AU71" s="13">
        <v>8.7354962706422004E-4</v>
      </c>
      <c r="AV71" s="13">
        <v>7.7764944193615905E-4</v>
      </c>
      <c r="AW71" s="13">
        <v>7.6607019145069296E-4</v>
      </c>
      <c r="AX71" s="13">
        <v>7.6295517647408605E-4</v>
      </c>
      <c r="AY71" s="13">
        <v>8.3616972808875302E-4</v>
      </c>
      <c r="AZ71" s="13">
        <v>8.00816654451076E-4</v>
      </c>
      <c r="BA71" s="13">
        <v>8.7147081881464603E-4</v>
      </c>
      <c r="BB71" s="13">
        <v>7.2573122643764497E-4</v>
      </c>
      <c r="BC71" s="13">
        <v>8.6918939656343598E-4</v>
      </c>
      <c r="BD71" s="13">
        <v>8.6033344223557403E-4</v>
      </c>
      <c r="BE71" s="8">
        <v>7.1050000000000004</v>
      </c>
      <c r="BF71" s="8">
        <v>8.0615380000000005</v>
      </c>
      <c r="BG71" s="8">
        <v>7.4864290000000002</v>
      </c>
      <c r="BH71" s="8">
        <v>7.66</v>
      </c>
      <c r="BI71" s="8">
        <v>5.3650000000000002</v>
      </c>
      <c r="BJ71" s="8">
        <v>8.0399999999999991</v>
      </c>
      <c r="BK71" s="8">
        <v>6.7762000000000002</v>
      </c>
      <c r="BL71" s="8">
        <v>7.42</v>
      </c>
      <c r="BM71" s="8">
        <v>6.6131580000000003</v>
      </c>
      <c r="BN71" s="8">
        <v>7.2332260000000002</v>
      </c>
      <c r="BO71" s="8">
        <v>7.02</v>
      </c>
      <c r="BP71" s="8">
        <v>6.7323079999999997</v>
      </c>
      <c r="BQ71" s="8">
        <v>7.2785710000000003</v>
      </c>
      <c r="BR71" s="8">
        <v>6.5439999999999996</v>
      </c>
      <c r="BS71" s="8">
        <v>6.8707690000000001</v>
      </c>
      <c r="BT71" s="8">
        <v>8.981579</v>
      </c>
      <c r="BU71" s="8">
        <v>7.4664999999999999</v>
      </c>
    </row>
    <row r="72" spans="1:73" x14ac:dyDescent="0.25">
      <c r="A72" s="9" t="s">
        <v>213</v>
      </c>
      <c r="B72" s="5" t="s">
        <v>214</v>
      </c>
      <c r="C72" s="3">
        <v>0.30366902641228599</v>
      </c>
      <c r="D72" s="3">
        <v>1.7257467601443699E-2</v>
      </c>
      <c r="E72" s="10">
        <v>3.1237717716877428E-3</v>
      </c>
      <c r="F72" s="2">
        <v>2.5496122769870485E-3</v>
      </c>
      <c r="G72" s="2">
        <v>5.1180357142857202</v>
      </c>
      <c r="H72" s="5">
        <v>4.9687001185302204</v>
      </c>
      <c r="I72" s="2">
        <f t="shared" si="1"/>
        <v>0.14933559575549982</v>
      </c>
      <c r="J72">
        <v>2</v>
      </c>
      <c r="K72">
        <v>3</v>
      </c>
      <c r="L72" s="5">
        <v>0.129154228101001</v>
      </c>
      <c r="M72" s="5">
        <v>7.24771133064262E-2</v>
      </c>
      <c r="N72" s="6">
        <v>13.7974590098822</v>
      </c>
      <c r="O72" s="3">
        <v>6.2866364722025798</v>
      </c>
      <c r="P72" s="3" t="s">
        <v>75</v>
      </c>
      <c r="Q72" s="3">
        <v>0.30366902641228599</v>
      </c>
      <c r="R72" s="3">
        <v>0</v>
      </c>
      <c r="S72" s="3">
        <v>0</v>
      </c>
      <c r="T72" s="3">
        <v>0</v>
      </c>
      <c r="U72">
        <v>0</v>
      </c>
      <c r="V72" s="3">
        <f>G72+U72</f>
        <v>5.1180357142857202</v>
      </c>
      <c r="W72" s="7">
        <v>4.5549999999999997</v>
      </c>
      <c r="X72" s="7">
        <v>6.1120000000000001</v>
      </c>
      <c r="Y72" s="7">
        <v>6.22</v>
      </c>
      <c r="Z72" s="7">
        <v>4.87</v>
      </c>
      <c r="AA72" s="7">
        <v>5.5</v>
      </c>
      <c r="AB72" s="7">
        <v>5.86</v>
      </c>
      <c r="AC72" s="7">
        <v>5.0638459999999998</v>
      </c>
      <c r="AD72" s="7">
        <v>5.0410000000000004</v>
      </c>
      <c r="AE72" s="7">
        <v>5.0049999999999999</v>
      </c>
      <c r="AF72" s="7">
        <v>6.0220000000000002</v>
      </c>
      <c r="AG72" s="7">
        <v>4.2850000000000001</v>
      </c>
      <c r="AH72" s="7">
        <v>5.4640000000000004</v>
      </c>
      <c r="AI72" s="7">
        <v>4.5871430000000002</v>
      </c>
      <c r="AJ72" s="7">
        <v>5.0125000000000002</v>
      </c>
      <c r="AK72" s="7">
        <v>4</v>
      </c>
      <c r="AL72" s="7">
        <v>4.6900000000000004</v>
      </c>
      <c r="AM72" s="7">
        <v>5.1100000000000003</v>
      </c>
      <c r="AN72" s="13">
        <v>7.8180688790517403E-3</v>
      </c>
      <c r="AO72" s="13">
        <v>3.1603208398797099E-3</v>
      </c>
      <c r="AP72" s="13">
        <v>3.4230892548255199E-3</v>
      </c>
      <c r="AQ72" s="13">
        <v>3.3174342804336799E-3</v>
      </c>
      <c r="AR72" s="13">
        <v>3.22367494448361E-3</v>
      </c>
      <c r="AS72" s="13">
        <v>2.92537963100196E-3</v>
      </c>
      <c r="AT72" s="13">
        <v>2.6137709387608898E-3</v>
      </c>
      <c r="AU72" s="13">
        <v>2.8556182350549602E-3</v>
      </c>
      <c r="AV72" s="13">
        <v>2.5421222310360501E-3</v>
      </c>
      <c r="AW72" s="13">
        <v>2.5042698666023402E-3</v>
      </c>
      <c r="AX72" s="13">
        <v>2.49408693790078E-3</v>
      </c>
      <c r="AY72" s="13">
        <v>2.73342400838281E-3</v>
      </c>
      <c r="AZ72" s="13">
        <v>2.6178554377862201E-3</v>
      </c>
      <c r="BA72" s="13">
        <v>2.8488226477628902E-3</v>
      </c>
      <c r="BB72" s="13">
        <v>2.37240250554395E-3</v>
      </c>
      <c r="BC72" s="13">
        <v>2.8413647188936298E-3</v>
      </c>
      <c r="BD72" s="13">
        <v>2.8124147612908199E-3</v>
      </c>
      <c r="BE72" s="8">
        <v>4.73942</v>
      </c>
      <c r="BF72" s="8">
        <v>5.0864859999999998</v>
      </c>
      <c r="BG72" s="8">
        <v>5.6338749999999997</v>
      </c>
      <c r="BH72" s="8">
        <v>4.8617999999999997</v>
      </c>
      <c r="BI72" s="8">
        <v>5.015714</v>
      </c>
      <c r="BJ72" s="8">
        <v>5.1534700000000004</v>
      </c>
      <c r="BK72" s="8">
        <v>4.7864000000000004</v>
      </c>
      <c r="BL72" s="8">
        <v>5.0017009999999997</v>
      </c>
      <c r="BM72" s="8">
        <v>4.79</v>
      </c>
      <c r="BN72" s="8">
        <v>4.9540540000000002</v>
      </c>
      <c r="BO72" s="8">
        <v>4.6244519999999998</v>
      </c>
      <c r="BP72" s="8">
        <v>5.0986690000000001</v>
      </c>
      <c r="BQ72" s="8">
        <v>5.1024479999999999</v>
      </c>
      <c r="BR72" s="8">
        <v>5.0663590000000003</v>
      </c>
      <c r="BS72" s="8">
        <v>4.675484</v>
      </c>
      <c r="BT72" s="8">
        <v>4.7507210000000004</v>
      </c>
      <c r="BU72" s="8">
        <v>4.9857829999999996</v>
      </c>
    </row>
    <row r="73" spans="1:73" x14ac:dyDescent="0.25">
      <c r="A73" s="9" t="s">
        <v>309</v>
      </c>
      <c r="B73" s="5" t="s">
        <v>215</v>
      </c>
      <c r="C73" s="3">
        <v>0.37673904923351798</v>
      </c>
      <c r="D73" s="3">
        <v>3.12070379453811E-2</v>
      </c>
      <c r="E73" s="10">
        <v>2.3967727126529112E-3</v>
      </c>
      <c r="F73" s="2">
        <v>1.788082904679557E-3</v>
      </c>
      <c r="G73" s="2">
        <v>5.2839999999999998</v>
      </c>
      <c r="H73" s="5">
        <v>5.92252808988765</v>
      </c>
      <c r="I73" s="2">
        <f t="shared" si="1"/>
        <v>-0.6385280898876502</v>
      </c>
      <c r="J73">
        <v>3</v>
      </c>
      <c r="K73">
        <v>2</v>
      </c>
      <c r="L73" s="5">
        <v>0.13915237876432601</v>
      </c>
      <c r="M73" s="5">
        <v>0.112270688646008</v>
      </c>
      <c r="N73" s="6">
        <v>8.9070443235012302</v>
      </c>
      <c r="O73" s="3">
        <v>7.0461014992811304</v>
      </c>
      <c r="P73" s="3" t="s">
        <v>105</v>
      </c>
      <c r="Q73" s="3">
        <v>57.576120929810799</v>
      </c>
      <c r="R73" s="3">
        <v>6.4434279614879004E-3</v>
      </c>
      <c r="S73" s="3">
        <v>0</v>
      </c>
      <c r="T73" s="3">
        <v>7.9841004842237297E-3</v>
      </c>
      <c r="U73">
        <v>0</v>
      </c>
      <c r="V73" s="3">
        <f>G73+U73</f>
        <v>5.2839999999999998</v>
      </c>
      <c r="W73" s="7">
        <v>0</v>
      </c>
      <c r="X73" s="7">
        <v>0</v>
      </c>
      <c r="Y73" s="7">
        <v>5.95</v>
      </c>
      <c r="Z73" s="7">
        <v>0</v>
      </c>
      <c r="AA73" s="7">
        <v>0</v>
      </c>
      <c r="AB73" s="7">
        <v>0</v>
      </c>
      <c r="AC73" s="7">
        <v>2.8</v>
      </c>
      <c r="AD73" s="7">
        <v>4.87</v>
      </c>
      <c r="AE73" s="7">
        <v>0</v>
      </c>
      <c r="AF73" s="7">
        <v>0</v>
      </c>
      <c r="AG73" s="7">
        <v>0</v>
      </c>
      <c r="AH73" s="7">
        <v>0</v>
      </c>
      <c r="AI73" s="7">
        <v>4.2850000000000001</v>
      </c>
      <c r="AJ73" s="7">
        <v>9.1</v>
      </c>
      <c r="AK73" s="7">
        <v>0</v>
      </c>
      <c r="AL73" s="7">
        <v>3.7</v>
      </c>
      <c r="AM73" s="7">
        <v>4.5999999999999996</v>
      </c>
      <c r="AN73" s="13">
        <v>5.9985605621975698E-3</v>
      </c>
      <c r="AO73" s="13">
        <v>2.4248156734445201E-3</v>
      </c>
      <c r="AP73" s="13">
        <v>2.6264296877580298E-3</v>
      </c>
      <c r="AQ73" s="13">
        <v>2.5453639191658599E-3</v>
      </c>
      <c r="AR73" s="13">
        <v>2.4734253031637701E-3</v>
      </c>
      <c r="AS73" s="13">
        <v>2.2445526069748401E-3</v>
      </c>
      <c r="AT73" s="13">
        <v>2.0054649702409499E-3</v>
      </c>
      <c r="AU73" s="13">
        <v>2.1910268623228802E-3</v>
      </c>
      <c r="AV73" s="13">
        <v>1.95049115008924E-3</v>
      </c>
      <c r="AW73" s="13">
        <v>1.921448210715E-3</v>
      </c>
      <c r="AX73" s="13">
        <v>1.91363516692352E-3</v>
      </c>
      <c r="AY73" s="13">
        <v>2.0972710409834401E-3</v>
      </c>
      <c r="AZ73" s="13">
        <v>2.0085988790295201E-3</v>
      </c>
      <c r="BA73" s="13">
        <v>2.1858128200116901E-3</v>
      </c>
      <c r="BB73" s="13">
        <v>1.82027049487196E-3</v>
      </c>
      <c r="BC73" s="13">
        <v>2.1800905836534602E-3</v>
      </c>
      <c r="BD73" s="13">
        <v>2.15787818355313E-3</v>
      </c>
      <c r="BE73" s="8">
        <v>6.2368750000000004</v>
      </c>
      <c r="BF73" s="8">
        <v>6.1912000000000003</v>
      </c>
      <c r="BG73" s="8">
        <v>5.942679</v>
      </c>
      <c r="BH73" s="8">
        <v>7.165</v>
      </c>
      <c r="BI73" s="8">
        <v>6.7642860000000002</v>
      </c>
      <c r="BJ73" s="8">
        <v>5.8996550000000001</v>
      </c>
      <c r="BK73" s="8">
        <v>5.6287209999999996</v>
      </c>
      <c r="BL73" s="8">
        <v>5.9837499999999997</v>
      </c>
      <c r="BM73" s="8">
        <v>5.3768419999999999</v>
      </c>
      <c r="BN73" s="8">
        <v>5.8189130000000002</v>
      </c>
      <c r="BO73" s="8">
        <v>5.9361839999999999</v>
      </c>
      <c r="BP73" s="8">
        <v>5.2788709999999996</v>
      </c>
      <c r="BQ73" s="8">
        <v>5.6763269999999997</v>
      </c>
      <c r="BR73" s="8">
        <v>7.0455170000000003</v>
      </c>
      <c r="BS73" s="8">
        <v>6.0257889999999996</v>
      </c>
      <c r="BT73" s="8">
        <v>6.2874999999999996</v>
      </c>
      <c r="BU73" s="8">
        <v>5.7438710000000004</v>
      </c>
    </row>
    <row r="74" spans="1:73" x14ac:dyDescent="0.25">
      <c r="A74" s="9" t="s">
        <v>216</v>
      </c>
      <c r="B74" s="5" t="s">
        <v>217</v>
      </c>
      <c r="C74" s="3">
        <v>0.57017349032714104</v>
      </c>
      <c r="D74" s="3">
        <v>3.4511492946763901E-2</v>
      </c>
      <c r="E74" s="10">
        <v>4.1625778499417921E-3</v>
      </c>
      <c r="F74" s="2">
        <v>4.9335032503973041E-3</v>
      </c>
      <c r="G74" s="2">
        <v>7.6088095238095201</v>
      </c>
      <c r="H74" s="5">
        <v>7.7690719395866399</v>
      </c>
      <c r="I74" s="2">
        <f t="shared" si="1"/>
        <v>-0.16026241577711975</v>
      </c>
      <c r="J74">
        <v>3</v>
      </c>
      <c r="K74">
        <v>2</v>
      </c>
      <c r="L74" s="5">
        <v>0.122100242359179</v>
      </c>
      <c r="M74" s="5">
        <v>0.14008750412634399</v>
      </c>
      <c r="N74" s="6">
        <v>7.1383954353138197</v>
      </c>
      <c r="O74" s="3">
        <v>7.2752036026908904</v>
      </c>
      <c r="P74" s="3" t="s">
        <v>75</v>
      </c>
      <c r="Q74" s="3">
        <v>0.57017349032714104</v>
      </c>
      <c r="R74" s="3">
        <v>0</v>
      </c>
      <c r="S74" s="3">
        <v>0</v>
      </c>
      <c r="T74" s="3">
        <v>0</v>
      </c>
      <c r="U74">
        <v>2.3911904761904799</v>
      </c>
      <c r="V74" s="3">
        <f>G74+U74</f>
        <v>10</v>
      </c>
      <c r="W74" s="7">
        <v>0</v>
      </c>
      <c r="X74" s="7">
        <v>0</v>
      </c>
      <c r="Y74" s="7">
        <v>9.5500000000000007</v>
      </c>
      <c r="Z74" s="7">
        <v>0</v>
      </c>
      <c r="AA74" s="7">
        <v>7.27</v>
      </c>
      <c r="AB74" s="7">
        <v>5.5</v>
      </c>
      <c r="AC74" s="7">
        <v>7.55</v>
      </c>
      <c r="AD74" s="7">
        <v>9.5500000000000007</v>
      </c>
      <c r="AE74" s="7">
        <v>3.7</v>
      </c>
      <c r="AF74" s="7">
        <v>8.65</v>
      </c>
      <c r="AG74" s="7">
        <v>8.8000000000000007</v>
      </c>
      <c r="AH74" s="7">
        <v>7.5250000000000004</v>
      </c>
      <c r="AI74" s="7">
        <v>7.3</v>
      </c>
      <c r="AJ74" s="7">
        <v>0</v>
      </c>
      <c r="AK74" s="7">
        <v>0</v>
      </c>
      <c r="AL74" s="7">
        <v>9.5500000000000007</v>
      </c>
      <c r="AM74" s="7">
        <v>0</v>
      </c>
      <c r="AN74" s="13">
        <v>1.0417957112045099E-2</v>
      </c>
      <c r="AO74" s="13">
        <v>4.2112812613340099E-3</v>
      </c>
      <c r="AP74" s="13">
        <v>4.5614329573162001E-3</v>
      </c>
      <c r="AQ74" s="13">
        <v>4.42064256407245E-3</v>
      </c>
      <c r="AR74" s="13">
        <v>4.2957036877472503E-3</v>
      </c>
      <c r="AS74" s="13">
        <v>3.8982106711658001E-3</v>
      </c>
      <c r="AT74" s="13">
        <v>3.4829769297227702E-3</v>
      </c>
      <c r="AU74" s="13">
        <v>3.80525021733818E-3</v>
      </c>
      <c r="AV74" s="13">
        <v>3.3875015411378999E-3</v>
      </c>
      <c r="AW74" s="13">
        <v>3.3370614241012499E-3</v>
      </c>
      <c r="AX74" s="13">
        <v>3.3234921762308402E-3</v>
      </c>
      <c r="AY74" s="13">
        <v>3.6424204658351E-3</v>
      </c>
      <c r="AZ74" s="13">
        <v>3.4884197233753301E-3</v>
      </c>
      <c r="BA74" s="13">
        <v>3.7961947666821198E-3</v>
      </c>
      <c r="BB74" s="13">
        <v>3.1613417504532098E-3</v>
      </c>
      <c r="BC74" s="13">
        <v>3.7862567136530802E-3</v>
      </c>
      <c r="BD74" s="13">
        <v>3.7476794867998299E-3</v>
      </c>
      <c r="BE74" s="8">
        <v>8.1567310000000006</v>
      </c>
      <c r="BF74" s="8">
        <v>8.2959999999999994</v>
      </c>
      <c r="BG74" s="8">
        <v>8.2185159999999993</v>
      </c>
      <c r="BH74" s="8">
        <v>8.3947120000000002</v>
      </c>
      <c r="BI74" s="8">
        <v>8.2454049999999999</v>
      </c>
      <c r="BJ74" s="8">
        <v>7.3868470000000004</v>
      </c>
      <c r="BK74" s="8">
        <v>7.9777620000000002</v>
      </c>
      <c r="BL74" s="8">
        <v>7.9013910000000003</v>
      </c>
      <c r="BM74" s="8">
        <v>7.1849480000000003</v>
      </c>
      <c r="BN74" s="8">
        <v>7.8962859999999999</v>
      </c>
      <c r="BO74" s="8">
        <v>7.6803229999999996</v>
      </c>
      <c r="BP74" s="8">
        <v>7.5434400000000004</v>
      </c>
      <c r="BQ74" s="8">
        <v>7.6180680000000001</v>
      </c>
      <c r="BR74" s="8">
        <v>7.7973679999999996</v>
      </c>
      <c r="BS74" s="8">
        <v>8.1966669999999997</v>
      </c>
      <c r="BT74" s="8">
        <v>7.6108820000000001</v>
      </c>
      <c r="BU74" s="8">
        <v>6.8094999999999999</v>
      </c>
    </row>
    <row r="75" spans="1:73" x14ac:dyDescent="0.25">
      <c r="A75" s="9" t="s">
        <v>218</v>
      </c>
      <c r="B75" s="5" t="s">
        <v>219</v>
      </c>
      <c r="C75" s="3">
        <v>0.29464163509686297</v>
      </c>
      <c r="D75" s="3">
        <v>8.6246602573502792E-3</v>
      </c>
      <c r="E75" s="10">
        <v>1.8744779243042391E-3</v>
      </c>
      <c r="F75" s="2">
        <v>1.5960531873213207E-2</v>
      </c>
      <c r="G75" s="2">
        <v>6.6450561797752696</v>
      </c>
      <c r="H75" s="5">
        <v>7.5084373285146402</v>
      </c>
      <c r="I75" s="2">
        <f t="shared" si="1"/>
        <v>-0.86338114873937055</v>
      </c>
      <c r="J75">
        <v>8</v>
      </c>
      <c r="K75">
        <v>2</v>
      </c>
      <c r="L75" s="5">
        <v>6.4719286084766806E-2</v>
      </c>
      <c r="M75" s="5">
        <v>3.4916962542824503E-2</v>
      </c>
      <c r="N75" s="6">
        <v>28.6393754546528</v>
      </c>
      <c r="O75" s="3">
        <v>5.8903621055096602</v>
      </c>
      <c r="P75" s="3" t="s">
        <v>75</v>
      </c>
      <c r="Q75" s="3">
        <v>0.29464163509686297</v>
      </c>
      <c r="R75" s="3">
        <v>0</v>
      </c>
      <c r="S75" s="3">
        <v>0</v>
      </c>
      <c r="T75" s="3">
        <v>0</v>
      </c>
      <c r="U75">
        <v>0</v>
      </c>
      <c r="V75" s="3">
        <f>G75+U75</f>
        <v>6.6450561797752696</v>
      </c>
      <c r="W75" s="7">
        <v>5.14</v>
      </c>
      <c r="X75" s="7">
        <v>7.6</v>
      </c>
      <c r="Y75" s="7">
        <v>4.96</v>
      </c>
      <c r="Z75" s="7">
        <v>3.7</v>
      </c>
      <c r="AA75" s="7">
        <v>0</v>
      </c>
      <c r="AB75" s="7">
        <v>4.6900000000000004</v>
      </c>
      <c r="AC75" s="7">
        <v>6.518421</v>
      </c>
      <c r="AD75" s="7">
        <v>6.1749999999999998</v>
      </c>
      <c r="AE75" s="7">
        <v>7.0570000000000004</v>
      </c>
      <c r="AF75" s="7">
        <v>7.7827270000000004</v>
      </c>
      <c r="AG75" s="7">
        <v>6.4276920000000004</v>
      </c>
      <c r="AH75" s="7">
        <v>7.2156250000000002</v>
      </c>
      <c r="AI75" s="7">
        <v>6</v>
      </c>
      <c r="AJ75" s="7">
        <v>7.5892860000000004</v>
      </c>
      <c r="AK75" s="7">
        <v>6.9130000000000003</v>
      </c>
      <c r="AL75" s="7">
        <v>6.8125</v>
      </c>
      <c r="AM75" s="7">
        <v>5.89</v>
      </c>
      <c r="AN75" s="13">
        <v>4.6913790749042502E-3</v>
      </c>
      <c r="AO75" s="13">
        <v>1.89640987916108E-3</v>
      </c>
      <c r="AP75" s="13">
        <v>2.0540890020357399E-3</v>
      </c>
      <c r="AQ75" s="13">
        <v>1.9906887501718101E-3</v>
      </c>
      <c r="AR75" s="13">
        <v>1.9344266995864399E-3</v>
      </c>
      <c r="AS75" s="13">
        <v>1.7554289939561601E-3</v>
      </c>
      <c r="AT75" s="13">
        <v>1.56844234534078E-3</v>
      </c>
      <c r="AU75" s="13">
        <v>1.7135673580144701E-3</v>
      </c>
      <c r="AV75" s="13">
        <v>1.52544819251809E-3</v>
      </c>
      <c r="AW75" s="13">
        <v>1.5027341702720401E-3</v>
      </c>
      <c r="AX75" s="13">
        <v>1.4966237126423101E-3</v>
      </c>
      <c r="AY75" s="13">
        <v>1.6402424171688E-3</v>
      </c>
      <c r="AZ75" s="13">
        <v>1.57089332569864E-3</v>
      </c>
      <c r="BA75" s="13">
        <v>1.7094895382207501E-3</v>
      </c>
      <c r="BB75" s="13">
        <v>1.4236046834508399E-3</v>
      </c>
      <c r="BC75" s="13">
        <v>1.7050142679231001E-3</v>
      </c>
      <c r="BD75" s="13">
        <v>1.6876423021066999E-3</v>
      </c>
      <c r="BE75" s="8">
        <v>7.3466769999999997</v>
      </c>
      <c r="BF75" s="8">
        <v>7.2818579999999997</v>
      </c>
      <c r="BG75" s="8">
        <v>7.5776180000000002</v>
      </c>
      <c r="BH75" s="8">
        <v>7.6848049999999999</v>
      </c>
      <c r="BI75" s="8">
        <v>7.3304799999999997</v>
      </c>
      <c r="BJ75" s="8">
        <v>7.3862500000000004</v>
      </c>
      <c r="BK75" s="8">
        <v>7.4728969999999997</v>
      </c>
      <c r="BL75" s="8">
        <v>7.3321459999999998</v>
      </c>
      <c r="BM75" s="8">
        <v>7.5615139999999998</v>
      </c>
      <c r="BN75" s="8">
        <v>7.419619</v>
      </c>
      <c r="BO75" s="8">
        <v>7.4770159999999999</v>
      </c>
      <c r="BP75" s="8">
        <v>7.579548</v>
      </c>
      <c r="BQ75" s="8">
        <v>7.557436</v>
      </c>
      <c r="BR75" s="8">
        <v>7.7170209999999999</v>
      </c>
      <c r="BS75" s="8">
        <v>7.415845</v>
      </c>
      <c r="BT75" s="8">
        <v>7.7232029999999998</v>
      </c>
      <c r="BU75" s="8">
        <v>7.5310860000000002</v>
      </c>
    </row>
    <row r="76" spans="1:73" x14ac:dyDescent="0.25">
      <c r="A76" s="9" t="s">
        <v>220</v>
      </c>
      <c r="B76" s="5" t="s">
        <v>221</v>
      </c>
      <c r="C76" s="3">
        <v>0.24149028739296099</v>
      </c>
      <c r="D76" s="3">
        <v>1.2886785122759099E-2</v>
      </c>
      <c r="E76" s="10">
        <v>1.5363348513294051E-3</v>
      </c>
      <c r="F76" s="2">
        <v>1.9969710162574185E-2</v>
      </c>
      <c r="G76" s="2">
        <v>5.7605747126436802</v>
      </c>
      <c r="H76" s="5">
        <v>5.7891799084519002</v>
      </c>
      <c r="I76" s="2">
        <f t="shared" si="1"/>
        <v>-2.8605195808220074E-2</v>
      </c>
      <c r="J76">
        <v>8</v>
      </c>
      <c r="K76">
        <v>2</v>
      </c>
      <c r="L76" s="5">
        <v>0.11070483039716</v>
      </c>
      <c r="M76" s="5">
        <v>5.2713323066339503E-2</v>
      </c>
      <c r="N76" s="6">
        <v>18.970536134508201</v>
      </c>
      <c r="O76" s="3">
        <v>5.5883172395497098</v>
      </c>
      <c r="P76" s="3" t="s">
        <v>78</v>
      </c>
      <c r="Q76" s="3">
        <v>37.520491873708998</v>
      </c>
      <c r="R76" s="3">
        <v>6.5036597104592498E-3</v>
      </c>
      <c r="S76" s="3">
        <v>0</v>
      </c>
      <c r="T76" s="3">
        <v>1.1922780525065801E-2</v>
      </c>
      <c r="U76">
        <v>0</v>
      </c>
      <c r="V76" s="3">
        <f>G76+U76</f>
        <v>5.7605747126436802</v>
      </c>
      <c r="W76" s="7">
        <v>4.3862500000000004</v>
      </c>
      <c r="X76" s="7">
        <v>6.0657139999999998</v>
      </c>
      <c r="Y76" s="7">
        <v>6.7842859999999998</v>
      </c>
      <c r="Z76" s="7">
        <v>4.4349999999999996</v>
      </c>
      <c r="AA76" s="7">
        <v>6.49</v>
      </c>
      <c r="AB76" s="7">
        <v>6.2154999999999996</v>
      </c>
      <c r="AC76" s="7">
        <v>5.17</v>
      </c>
      <c r="AD76" s="7">
        <v>4.5910000000000002</v>
      </c>
      <c r="AE76" s="7">
        <v>5.8487499999999999</v>
      </c>
      <c r="AF76" s="7">
        <v>4.29</v>
      </c>
      <c r="AG76" s="7">
        <v>5.95</v>
      </c>
      <c r="AH76" s="7">
        <v>5.8728569999999998</v>
      </c>
      <c r="AI76" s="7">
        <v>5.6124999999999998</v>
      </c>
      <c r="AJ76" s="7">
        <v>7.6</v>
      </c>
      <c r="AK76" s="7">
        <v>6.55</v>
      </c>
      <c r="AL76" s="7">
        <v>5.4625000000000004</v>
      </c>
      <c r="AM76" s="7">
        <v>6.8821430000000001</v>
      </c>
      <c r="AN76" s="13">
        <v>3.8450861864634499E-3</v>
      </c>
      <c r="AO76" s="13">
        <v>1.55431043064536E-3</v>
      </c>
      <c r="AP76" s="13">
        <v>1.68354531181331E-3</v>
      </c>
      <c r="AQ76" s="13">
        <v>1.6315820343275099E-3</v>
      </c>
      <c r="AR76" s="13">
        <v>1.5854692751422401E-3</v>
      </c>
      <c r="AS76" s="13">
        <v>1.4387615386027999E-3</v>
      </c>
      <c r="AT76" s="13">
        <v>1.28550601007599E-3</v>
      </c>
      <c r="AU76" s="13">
        <v>1.4044514571678599E-3</v>
      </c>
      <c r="AV76" s="13">
        <v>1.25026771010541E-3</v>
      </c>
      <c r="AW76" s="13">
        <v>1.2316511430399699E-3</v>
      </c>
      <c r="AX76" s="13">
        <v>1.2266429704216699E-3</v>
      </c>
      <c r="AY76" s="13">
        <v>1.34435383711471E-3</v>
      </c>
      <c r="AZ76" s="13">
        <v>1.2875148502415001E-3</v>
      </c>
      <c r="BA76" s="13">
        <v>1.40110924833984E-3</v>
      </c>
      <c r="BB76" s="13">
        <v>1.16679607764017E-3</v>
      </c>
      <c r="BC76" s="13">
        <v>1.39744128637654E-3</v>
      </c>
      <c r="BD76" s="13">
        <v>1.3832031050814799E-3</v>
      </c>
      <c r="BE76" s="8">
        <v>5.5351850000000002</v>
      </c>
      <c r="BF76" s="8">
        <v>5.4618450000000003</v>
      </c>
      <c r="BG76" s="8">
        <v>5.9040520000000001</v>
      </c>
      <c r="BH76" s="8">
        <v>6.120196</v>
      </c>
      <c r="BI76" s="8">
        <v>5.6329310000000001</v>
      </c>
      <c r="BJ76" s="8">
        <v>5.7695790000000002</v>
      </c>
      <c r="BK76" s="8">
        <v>5.7583320000000002</v>
      </c>
      <c r="BL76" s="8">
        <v>5.654909</v>
      </c>
      <c r="BM76" s="8">
        <v>5.6509960000000001</v>
      </c>
      <c r="BN76" s="8">
        <v>5.6712369999999996</v>
      </c>
      <c r="BO76" s="8">
        <v>5.9075559999999996</v>
      </c>
      <c r="BP76" s="8">
        <v>6.0250370000000002</v>
      </c>
      <c r="BQ76" s="8">
        <v>6.0415479999999997</v>
      </c>
      <c r="BR76" s="8">
        <v>5.5616760000000003</v>
      </c>
      <c r="BS76" s="8">
        <v>5.7952750000000002</v>
      </c>
      <c r="BT76" s="8">
        <v>5.7791189999999997</v>
      </c>
      <c r="BU76" s="8">
        <v>5.7839179999999999</v>
      </c>
    </row>
    <row r="77" spans="1:73" x14ac:dyDescent="0.25">
      <c r="A77" s="9" t="s">
        <v>222</v>
      </c>
      <c r="B77" s="5" t="s">
        <v>223</v>
      </c>
      <c r="C77" s="3">
        <v>0.267471264671376</v>
      </c>
      <c r="D77" s="3">
        <v>1.5784839662556699E-2</v>
      </c>
      <c r="E77" s="10">
        <v>2.7740859483086E-3</v>
      </c>
      <c r="F77" s="2">
        <v>3.3015714914673279E-3</v>
      </c>
      <c r="G77" s="2">
        <v>4.7084803921568703</v>
      </c>
      <c r="H77" s="5">
        <v>5.0200493383742302</v>
      </c>
      <c r="I77" s="2">
        <f t="shared" si="1"/>
        <v>-0.31156894621735987</v>
      </c>
      <c r="J77">
        <v>3</v>
      </c>
      <c r="K77">
        <v>2</v>
      </c>
      <c r="L77" s="5">
        <v>0.12106384243067</v>
      </c>
      <c r="M77" s="5">
        <v>4.8195616999790997E-2</v>
      </c>
      <c r="N77" s="6">
        <v>20.748774727883202</v>
      </c>
      <c r="O77" s="3">
        <v>6.4990729113696597</v>
      </c>
      <c r="P77" s="3" t="s">
        <v>75</v>
      </c>
      <c r="Q77" s="3">
        <v>0.267471264671376</v>
      </c>
      <c r="R77" s="3">
        <v>0</v>
      </c>
      <c r="S77" s="3">
        <v>0</v>
      </c>
      <c r="T77" s="3">
        <v>0</v>
      </c>
      <c r="U77">
        <v>0</v>
      </c>
      <c r="V77" s="3">
        <f>G77+U77</f>
        <v>4.7084803921568703</v>
      </c>
      <c r="W77" s="7">
        <v>3.61</v>
      </c>
      <c r="X77" s="7">
        <v>4.1449999999999996</v>
      </c>
      <c r="Y77" s="7">
        <v>1.9</v>
      </c>
      <c r="Z77" s="7">
        <v>7.5250000000000004</v>
      </c>
      <c r="AA77" s="7">
        <v>3.61</v>
      </c>
      <c r="AB77" s="7">
        <v>4.45</v>
      </c>
      <c r="AC77" s="7">
        <v>5.6349999999999998</v>
      </c>
      <c r="AD77" s="7">
        <v>3.7749999999999999</v>
      </c>
      <c r="AE77" s="7">
        <v>3.9649999999999999</v>
      </c>
      <c r="AF77" s="7">
        <v>4.33</v>
      </c>
      <c r="AG77" s="7">
        <v>4.5376919999999998</v>
      </c>
      <c r="AH77" s="7">
        <v>5.5112500000000004</v>
      </c>
      <c r="AI77" s="7">
        <v>4.7525000000000004</v>
      </c>
      <c r="AJ77" s="7">
        <v>4.8731249999999999</v>
      </c>
      <c r="AK77" s="7">
        <v>5.24125</v>
      </c>
      <c r="AL77" s="7">
        <v>6.85</v>
      </c>
      <c r="AM77" s="7">
        <v>4.612857</v>
      </c>
      <c r="AN77" s="13">
        <v>6.9428871906888302E-3</v>
      </c>
      <c r="AO77" s="13">
        <v>2.80654358731221E-3</v>
      </c>
      <c r="AP77" s="13">
        <v>3.0398967964573999E-3</v>
      </c>
      <c r="AQ77" s="13">
        <v>2.9460692055668699E-3</v>
      </c>
      <c r="AR77" s="13">
        <v>2.86280561418058E-3</v>
      </c>
      <c r="AS77" s="13">
        <v>2.59790251047891E-3</v>
      </c>
      <c r="AT77" s="13">
        <v>2.3211763737132399E-3</v>
      </c>
      <c r="AU77" s="13">
        <v>2.53595044663577E-3</v>
      </c>
      <c r="AV77" s="13">
        <v>2.2575482703046101E-3</v>
      </c>
      <c r="AW77" s="13">
        <v>2.2239332305512101E-3</v>
      </c>
      <c r="AX77" s="13">
        <v>2.2148902141312398E-3</v>
      </c>
      <c r="AY77" s="13">
        <v>2.42743506460692E-3</v>
      </c>
      <c r="AZ77" s="13">
        <v>2.32480363978139E-3</v>
      </c>
      <c r="BA77" s="13">
        <v>2.5299155809044502E-3</v>
      </c>
      <c r="BB77" s="13">
        <v>2.1068275582776601E-3</v>
      </c>
      <c r="BC77" s="13">
        <v>2.52329251840443E-3</v>
      </c>
      <c r="BD77" s="13">
        <v>2.4975833192503898E-3</v>
      </c>
      <c r="BE77" s="8">
        <v>5.1950000000000003</v>
      </c>
      <c r="BF77" s="8">
        <v>5.425522</v>
      </c>
      <c r="BG77" s="8">
        <v>5.247903</v>
      </c>
      <c r="BH77" s="8">
        <v>5.4702310000000001</v>
      </c>
      <c r="BI77" s="8">
        <v>5.359375</v>
      </c>
      <c r="BJ77" s="8">
        <v>5.15313</v>
      </c>
      <c r="BK77" s="8">
        <v>4.8783200000000004</v>
      </c>
      <c r="BL77" s="8">
        <v>4.7195200000000002</v>
      </c>
      <c r="BM77" s="8">
        <v>5.0210090000000003</v>
      </c>
      <c r="BN77" s="8">
        <v>4.9456259999999999</v>
      </c>
      <c r="BO77" s="8">
        <v>5.0208269999999997</v>
      </c>
      <c r="BP77" s="8">
        <v>5.250197</v>
      </c>
      <c r="BQ77" s="8">
        <v>4.7404289999999998</v>
      </c>
      <c r="BR77" s="8">
        <v>4.9350250000000004</v>
      </c>
      <c r="BS77" s="8">
        <v>5.0846780000000003</v>
      </c>
      <c r="BT77" s="8">
        <v>4.8905329999999996</v>
      </c>
      <c r="BU77" s="8">
        <v>4.6945490000000003</v>
      </c>
    </row>
    <row r="78" spans="1:73" x14ac:dyDescent="0.25">
      <c r="A78" s="9" t="s">
        <v>224</v>
      </c>
      <c r="B78" s="5" t="s">
        <v>225</v>
      </c>
      <c r="C78" s="3">
        <v>0.28650884677122701</v>
      </c>
      <c r="D78" s="3">
        <v>2.8930186286893499E-2</v>
      </c>
      <c r="E78" s="10">
        <v>1.8227380126164959E-3</v>
      </c>
      <c r="F78" s="2">
        <v>3.9935040525318549E-3</v>
      </c>
      <c r="G78" s="2">
        <v>5.82837837837838</v>
      </c>
      <c r="H78" s="5">
        <v>5.5645327807083698</v>
      </c>
      <c r="I78" s="2">
        <f t="shared" si="1"/>
        <v>0.26384559767001026</v>
      </c>
      <c r="J78">
        <v>6</v>
      </c>
      <c r="K78">
        <v>4</v>
      </c>
      <c r="L78" s="5">
        <v>0.15479632922282499</v>
      </c>
      <c r="M78" s="5">
        <v>8.2661518730837394E-2</v>
      </c>
      <c r="N78" s="6">
        <v>12.0975275479296</v>
      </c>
      <c r="O78" s="3">
        <v>6.7615785454485504</v>
      </c>
      <c r="P78" s="3" t="s">
        <v>75</v>
      </c>
      <c r="Q78" s="3">
        <v>0.28650884677122701</v>
      </c>
      <c r="R78" s="3">
        <v>0</v>
      </c>
      <c r="S78" s="3">
        <v>0</v>
      </c>
      <c r="T78" s="3">
        <v>0</v>
      </c>
      <c r="U78">
        <v>0</v>
      </c>
      <c r="V78" s="3">
        <f>G78+U78</f>
        <v>5.82837837837838</v>
      </c>
      <c r="W78" s="7">
        <v>3.8574999999999999</v>
      </c>
      <c r="X78" s="7">
        <v>0</v>
      </c>
      <c r="Y78" s="7">
        <v>0</v>
      </c>
      <c r="Z78" s="7">
        <v>0</v>
      </c>
      <c r="AA78" s="7">
        <v>5.5</v>
      </c>
      <c r="AB78" s="7">
        <v>7.21</v>
      </c>
      <c r="AC78" s="7">
        <v>6.0625</v>
      </c>
      <c r="AD78" s="7">
        <v>3.61</v>
      </c>
      <c r="AE78" s="7">
        <v>8.3125</v>
      </c>
      <c r="AF78" s="7">
        <v>5.5</v>
      </c>
      <c r="AG78" s="7">
        <v>5.65</v>
      </c>
      <c r="AH78" s="7">
        <v>4.5999999999999996</v>
      </c>
      <c r="AI78" s="7">
        <v>3.61</v>
      </c>
      <c r="AJ78" s="7">
        <v>6.76</v>
      </c>
      <c r="AK78" s="7">
        <v>0</v>
      </c>
      <c r="AL78" s="7">
        <v>5.2</v>
      </c>
      <c r="AM78" s="7">
        <v>2.8</v>
      </c>
      <c r="AN78" s="13">
        <v>4.5618861980439599E-3</v>
      </c>
      <c r="AO78" s="13">
        <v>1.84406459496256E-3</v>
      </c>
      <c r="AP78" s="13">
        <v>1.9973914105698102E-3</v>
      </c>
      <c r="AQ78" s="13">
        <v>1.93574115180524E-3</v>
      </c>
      <c r="AR78" s="13">
        <v>1.8810320635092199E-3</v>
      </c>
      <c r="AS78" s="13">
        <v>1.7069751071731999E-3</v>
      </c>
      <c r="AT78" s="13">
        <v>1.5251497210942899E-3</v>
      </c>
      <c r="AU78" s="13">
        <v>1.66626894888139E-3</v>
      </c>
      <c r="AV78" s="13">
        <v>1.48334230599803E-3</v>
      </c>
      <c r="AW78" s="13">
        <v>1.4612552431254901E-3</v>
      </c>
      <c r="AX78" s="13">
        <v>1.4553134482119499E-3</v>
      </c>
      <c r="AY78" s="13">
        <v>1.59496794542899E-3</v>
      </c>
      <c r="AZ78" s="13">
        <v>1.5275330487443601E-3</v>
      </c>
      <c r="BA78" s="13">
        <v>1.6623036863140099E-3</v>
      </c>
      <c r="BB78" s="13">
        <v>1.38430991254691E-3</v>
      </c>
      <c r="BC78" s="13">
        <v>1.6579519437928099E-3</v>
      </c>
      <c r="BD78" s="13">
        <v>1.64105948427815E-3</v>
      </c>
      <c r="BE78" s="8">
        <v>5.3019999999999996</v>
      </c>
      <c r="BF78" s="8">
        <v>5.5895239999999999</v>
      </c>
      <c r="BG78" s="8">
        <v>5.5738459999999996</v>
      </c>
      <c r="BH78" s="8">
        <v>5.5553129999999999</v>
      </c>
      <c r="BI78" s="8">
        <v>5.773333</v>
      </c>
      <c r="BJ78" s="8">
        <v>5.5718670000000001</v>
      </c>
      <c r="BK78" s="8">
        <v>5.4707080000000001</v>
      </c>
      <c r="BL78" s="8">
        <v>5.5114619999999999</v>
      </c>
      <c r="BM78" s="8">
        <v>5.2843419999999997</v>
      </c>
      <c r="BN78" s="8">
        <v>5.9198000000000004</v>
      </c>
      <c r="BO78" s="8">
        <v>5.5410380000000004</v>
      </c>
      <c r="BP78" s="8">
        <v>5.3224489999999998</v>
      </c>
      <c r="BQ78" s="8">
        <v>5.6880259999999998</v>
      </c>
      <c r="BR78" s="8">
        <v>5.6542859999999999</v>
      </c>
      <c r="BS78" s="8">
        <v>5.6753850000000003</v>
      </c>
      <c r="BT78" s="8">
        <v>5.681915</v>
      </c>
      <c r="BU78" s="8">
        <v>5.5995999999999997</v>
      </c>
    </row>
    <row r="79" spans="1:73" x14ac:dyDescent="0.25">
      <c r="A79" s="9" t="s">
        <v>226</v>
      </c>
      <c r="B79" s="5" t="s">
        <v>227</v>
      </c>
      <c r="C79" s="3">
        <v>0.59315552686042605</v>
      </c>
      <c r="D79" s="3">
        <v>3.0932415492753499E-2</v>
      </c>
      <c r="E79" s="10">
        <v>3.773590722890869E-3</v>
      </c>
      <c r="F79" s="2">
        <v>1.3221552407840087E-2</v>
      </c>
      <c r="G79" s="2">
        <v>8.5162430939226308</v>
      </c>
      <c r="H79" s="5">
        <v>8.5551958831346795</v>
      </c>
      <c r="I79" s="2">
        <f t="shared" si="1"/>
        <v>-3.89527892120487E-2</v>
      </c>
      <c r="J79">
        <v>4</v>
      </c>
      <c r="K79">
        <v>1</v>
      </c>
      <c r="L79" s="5">
        <v>3.1838806023044702E-2</v>
      </c>
      <c r="M79" s="5">
        <v>6.4257888841729102E-2</v>
      </c>
      <c r="N79" s="6">
        <v>15.5622915415578</v>
      </c>
      <c r="O79" s="3">
        <v>6.9768991813385002</v>
      </c>
      <c r="P79" s="3" t="s">
        <v>75</v>
      </c>
      <c r="Q79" s="3">
        <v>0.59315552686042605</v>
      </c>
      <c r="R79" s="3">
        <v>0</v>
      </c>
      <c r="S79" s="3">
        <v>0</v>
      </c>
      <c r="T79" s="3">
        <v>0</v>
      </c>
      <c r="U79">
        <v>0</v>
      </c>
      <c r="V79" s="3">
        <f>G79+U79</f>
        <v>8.5162430939226308</v>
      </c>
      <c r="W79" s="7">
        <v>9.5500000000000007</v>
      </c>
      <c r="X79" s="7">
        <v>9.5500000000000007</v>
      </c>
      <c r="Y79" s="7">
        <v>6.2874999999999996</v>
      </c>
      <c r="Z79" s="7">
        <v>8.4700000000000006</v>
      </c>
      <c r="AA79" s="7">
        <v>9.5500000000000007</v>
      </c>
      <c r="AB79" s="7">
        <v>6.85</v>
      </c>
      <c r="AC79" s="7">
        <v>7.8645449999999997</v>
      </c>
      <c r="AD79" s="7">
        <v>7.8815379999999999</v>
      </c>
      <c r="AE79" s="7">
        <v>9.31</v>
      </c>
      <c r="AF79" s="7">
        <v>8.7040000000000006</v>
      </c>
      <c r="AG79" s="7">
        <v>8.8352939999999993</v>
      </c>
      <c r="AH79" s="7">
        <v>9.125</v>
      </c>
      <c r="AI79" s="7">
        <v>8.23</v>
      </c>
      <c r="AJ79" s="7">
        <v>8.83</v>
      </c>
      <c r="AK79" s="7">
        <v>8.7850000000000001</v>
      </c>
      <c r="AL79" s="7">
        <v>8.74</v>
      </c>
      <c r="AM79" s="7">
        <v>7.7090909999999999</v>
      </c>
      <c r="AN79" s="13">
        <v>9.4444134684563402E-3</v>
      </c>
      <c r="AO79" s="13">
        <v>3.8177428680346201E-3</v>
      </c>
      <c r="AP79" s="13">
        <v>4.1351733736481999E-3</v>
      </c>
      <c r="AQ79" s="13">
        <v>4.0075396473926803E-3</v>
      </c>
      <c r="AR79" s="13">
        <v>3.89427613578394E-3</v>
      </c>
      <c r="AS79" s="13">
        <v>3.53392829032403E-3</v>
      </c>
      <c r="AT79" s="13">
        <v>3.1574975661364602E-3</v>
      </c>
      <c r="AU79" s="13">
        <v>3.4496548619809202E-3</v>
      </c>
      <c r="AV79" s="13">
        <v>3.07094422020125E-3</v>
      </c>
      <c r="AW79" s="13">
        <v>3.0252176621469299E-3</v>
      </c>
      <c r="AX79" s="13">
        <v>3.0129164416709802E-3</v>
      </c>
      <c r="AY79" s="13">
        <v>3.3020413249293E-3</v>
      </c>
      <c r="AZ79" s="13">
        <v>3.16243173827073E-3</v>
      </c>
      <c r="BA79" s="13">
        <v>3.4414456306297901E-3</v>
      </c>
      <c r="BB79" s="13">
        <v>2.86591874829791E-3</v>
      </c>
      <c r="BC79" s="13">
        <v>3.4324362748733499E-3</v>
      </c>
      <c r="BD79" s="13">
        <v>3.3974640363672701E-3</v>
      </c>
      <c r="BE79" s="8">
        <v>8.7521260000000005</v>
      </c>
      <c r="BF79" s="8">
        <v>8.6224220000000003</v>
      </c>
      <c r="BG79" s="8">
        <v>8.7269330000000007</v>
      </c>
      <c r="BH79" s="8">
        <v>8.7634270000000001</v>
      </c>
      <c r="BI79" s="8">
        <v>8.741816</v>
      </c>
      <c r="BJ79" s="8">
        <v>8.4201119999999996</v>
      </c>
      <c r="BK79" s="8">
        <v>8.2838989999999999</v>
      </c>
      <c r="BL79" s="8">
        <v>8.5175129999999992</v>
      </c>
      <c r="BM79" s="8">
        <v>8.1633800000000001</v>
      </c>
      <c r="BN79" s="8">
        <v>8.2609139999999996</v>
      </c>
      <c r="BO79" s="8">
        <v>8.5030959999999993</v>
      </c>
      <c r="BP79" s="8">
        <v>8.6648800000000001</v>
      </c>
      <c r="BQ79" s="8">
        <v>8.5303749999999994</v>
      </c>
      <c r="BR79" s="8">
        <v>8.8753550000000008</v>
      </c>
      <c r="BS79" s="8">
        <v>8.8837440000000001</v>
      </c>
      <c r="BT79" s="8">
        <v>8.7827959999999994</v>
      </c>
      <c r="BU79" s="8">
        <v>8.8462409999999991</v>
      </c>
    </row>
    <row r="80" spans="1:73" x14ac:dyDescent="0.25">
      <c r="A80" s="9" t="s">
        <v>228</v>
      </c>
      <c r="B80" s="5" t="s">
        <v>229</v>
      </c>
      <c r="C80" s="3">
        <v>0.36168915367079002</v>
      </c>
      <c r="D80" s="3">
        <v>4.2447140566296497E-2</v>
      </c>
      <c r="E80" s="10">
        <v>3.0036390229390081E-3</v>
      </c>
      <c r="F80" s="2">
        <v>9.4614844978960439E-4</v>
      </c>
      <c r="G80" s="2">
        <v>3.5961538461538498</v>
      </c>
      <c r="H80" s="5">
        <v>5.1470307167235401</v>
      </c>
      <c r="I80" s="2">
        <f t="shared" si="1"/>
        <v>-1.5508768705696903</v>
      </c>
      <c r="J80">
        <v>3</v>
      </c>
      <c r="K80">
        <v>2</v>
      </c>
      <c r="L80" s="5">
        <v>0.45554124462672202</v>
      </c>
      <c r="M80" s="5">
        <v>0.15381385348740101</v>
      </c>
      <c r="N80" s="6">
        <v>6.50136497673736</v>
      </c>
      <c r="O80" s="3">
        <v>3.7</v>
      </c>
      <c r="P80" s="3" t="s">
        <v>75</v>
      </c>
      <c r="Q80" s="3">
        <v>0.36168915367079002</v>
      </c>
      <c r="R80" s="3">
        <v>0</v>
      </c>
      <c r="S80" s="3">
        <v>0</v>
      </c>
      <c r="T80" s="3">
        <v>0</v>
      </c>
      <c r="U80">
        <v>6.2002956381661702</v>
      </c>
      <c r="V80" s="3">
        <f>G80+U80</f>
        <v>9.7964494843200196</v>
      </c>
      <c r="W80" s="7">
        <v>3.25</v>
      </c>
      <c r="X80" s="7">
        <v>2.8</v>
      </c>
      <c r="Y80" s="7">
        <v>0</v>
      </c>
      <c r="Z80" s="7">
        <v>2.8</v>
      </c>
      <c r="AA80" s="7">
        <v>3.25</v>
      </c>
      <c r="AB80" s="7">
        <v>3.7</v>
      </c>
      <c r="AC80" s="7">
        <v>2.8</v>
      </c>
      <c r="AD80" s="7">
        <v>2.8</v>
      </c>
      <c r="AE80" s="7">
        <v>0</v>
      </c>
      <c r="AF80" s="7">
        <v>0</v>
      </c>
      <c r="AG80" s="7">
        <v>4.1500000000000004</v>
      </c>
      <c r="AH80" s="7">
        <v>9.5500000000000007</v>
      </c>
      <c r="AI80" s="7">
        <v>0</v>
      </c>
      <c r="AJ80" s="7">
        <v>0</v>
      </c>
      <c r="AK80" s="7">
        <v>0</v>
      </c>
      <c r="AL80" s="7">
        <v>2.35</v>
      </c>
      <c r="AM80" s="7">
        <v>0</v>
      </c>
      <c r="AN80" s="13">
        <v>7.5174047547197703E-3</v>
      </c>
      <c r="AO80" s="13">
        <v>3.0387825018795799E-3</v>
      </c>
      <c r="AP80" s="13">
        <v>3.2914454756219399E-3</v>
      </c>
      <c r="AQ80" s="13">
        <v>3.1898537374139002E-3</v>
      </c>
      <c r="AR80" s="13">
        <v>3.0997001600056701E-3</v>
      </c>
      <c r="AS80" s="13">
        <v>2.8128765667925202E-3</v>
      </c>
      <c r="AT80" s="13">
        <v>2.5132515953444302E-3</v>
      </c>
      <c r="AU80" s="13">
        <v>2.7457980263369498E-3</v>
      </c>
      <c r="AV80" s="13">
        <v>2.4443583245824701E-3</v>
      </c>
      <c r="AW80" s="13">
        <v>2.4079616710388002E-3</v>
      </c>
      <c r="AX80" s="13">
        <v>2.3981703532821698E-3</v>
      </c>
      <c r="AY80" s="13">
        <v>2.6283030957095399E-3</v>
      </c>
      <c r="AZ80" s="13">
        <v>2.5171790143616798E-3</v>
      </c>
      <c r="BA80" s="13">
        <v>2.7392637809867501E-3</v>
      </c>
      <c r="BB80" s="13">
        <v>2.2811656115069002E-3</v>
      </c>
      <c r="BC80" s="13">
        <v>2.73209266612328E-3</v>
      </c>
      <c r="BD80" s="13">
        <v>2.7042560542567201E-3</v>
      </c>
      <c r="BE80" s="8">
        <v>3.6653850000000001</v>
      </c>
      <c r="BF80" s="8">
        <v>4.7038460000000004</v>
      </c>
      <c r="BG80" s="8">
        <v>5.86</v>
      </c>
      <c r="BH80" s="8">
        <v>4.7012499999999999</v>
      </c>
      <c r="BI80" s="8">
        <v>4.4341670000000004</v>
      </c>
      <c r="BJ80" s="8">
        <v>4.68</v>
      </c>
      <c r="BK80" s="8">
        <v>6.277857</v>
      </c>
      <c r="BL80" s="8">
        <v>4.805714</v>
      </c>
      <c r="BM80" s="8">
        <v>5.1355000000000004</v>
      </c>
      <c r="BN80" s="8">
        <v>5.7308700000000004</v>
      </c>
      <c r="BO80" s="8">
        <v>5.41</v>
      </c>
      <c r="BP80" s="8">
        <v>5.4021739999999996</v>
      </c>
      <c r="BQ80" s="8">
        <v>5.032</v>
      </c>
      <c r="BR80" s="8">
        <v>5.0915379999999999</v>
      </c>
      <c r="BS80" s="8">
        <v>6.0309999999999997</v>
      </c>
      <c r="BT80" s="8">
        <v>2.8867859999999999</v>
      </c>
      <c r="BU80" s="8">
        <v>5.7850000000000001</v>
      </c>
    </row>
    <row r="81" spans="1:73" x14ac:dyDescent="0.25">
      <c r="A81" s="9" t="s">
        <v>230</v>
      </c>
      <c r="B81" s="5" t="s">
        <v>231</v>
      </c>
      <c r="C81" s="3">
        <v>8.0746599284120202E-2</v>
      </c>
      <c r="D81" s="3">
        <v>1.8210703593744399E-2</v>
      </c>
      <c r="E81" s="10">
        <v>5.1370105168933487E-4</v>
      </c>
      <c r="F81" s="2">
        <v>6.5853283294096294E-3</v>
      </c>
      <c r="G81" s="2">
        <v>5.95642011834319</v>
      </c>
      <c r="H81" s="5">
        <v>6.4180675751615199</v>
      </c>
      <c r="I81" s="2">
        <f t="shared" si="1"/>
        <v>-0.46164745681832997</v>
      </c>
      <c r="J81">
        <v>7</v>
      </c>
      <c r="K81">
        <v>4</v>
      </c>
      <c r="L81" s="5">
        <v>6.8188444423251698E-2</v>
      </c>
      <c r="M81" s="5">
        <v>7.1911893727627393E-2</v>
      </c>
      <c r="N81" s="6">
        <v>13.905905520825099</v>
      </c>
      <c r="O81" s="3">
        <v>6.7249695925646096</v>
      </c>
      <c r="P81" s="3" t="s">
        <v>78</v>
      </c>
      <c r="Q81" s="3">
        <v>2.8343396849332301</v>
      </c>
      <c r="R81" s="3">
        <v>2.8536935891879299E-2</v>
      </c>
      <c r="S81" s="3">
        <v>0</v>
      </c>
      <c r="T81" s="3">
        <v>5.3057032303910102E-3</v>
      </c>
      <c r="U81">
        <v>0</v>
      </c>
      <c r="V81" s="3">
        <f>G81+U81</f>
        <v>5.95642011834319</v>
      </c>
      <c r="W81" s="7">
        <v>5.0724999999999998</v>
      </c>
      <c r="X81" s="7">
        <v>5.94625</v>
      </c>
      <c r="Y81" s="7">
        <v>5.1174999999999997</v>
      </c>
      <c r="Z81" s="7">
        <v>5.4606250000000003</v>
      </c>
      <c r="AA81" s="7">
        <v>9.5500000000000007</v>
      </c>
      <c r="AB81" s="7">
        <v>5.954688</v>
      </c>
      <c r="AC81" s="7">
        <v>5.7580770000000001</v>
      </c>
      <c r="AD81" s="7">
        <v>5.8860000000000001</v>
      </c>
      <c r="AE81" s="7">
        <v>6.0062499999999996</v>
      </c>
      <c r="AF81" s="7">
        <v>6.556</v>
      </c>
      <c r="AG81" s="7">
        <v>5.6293749999999996</v>
      </c>
      <c r="AH81" s="7">
        <v>6.3557889999999997</v>
      </c>
      <c r="AI81" s="7">
        <v>5.1100000000000003</v>
      </c>
      <c r="AJ81" s="7">
        <v>7.274286</v>
      </c>
      <c r="AK81" s="7">
        <v>5.5</v>
      </c>
      <c r="AL81" s="7">
        <v>5.5449999999999999</v>
      </c>
      <c r="AM81" s="7">
        <v>9.1</v>
      </c>
      <c r="AN81" s="13">
        <v>1.2856733778532901E-3</v>
      </c>
      <c r="AO81" s="13">
        <v>5.1971150832341099E-4</v>
      </c>
      <c r="AP81" s="13">
        <v>5.6292350362083699E-4</v>
      </c>
      <c r="AQ81" s="13">
        <v>5.4554865186206896E-4</v>
      </c>
      <c r="AR81" s="13">
        <v>5.3013002559757004E-4</v>
      </c>
      <c r="AS81" s="13">
        <v>4.8107566841361701E-4</v>
      </c>
      <c r="AT81" s="13">
        <v>4.29831939799828E-4</v>
      </c>
      <c r="AU81" s="13">
        <v>4.6960347867488599E-4</v>
      </c>
      <c r="AV81" s="13">
        <v>4.1804938358236702E-4</v>
      </c>
      <c r="AW81" s="13">
        <v>4.1182460122318097E-4</v>
      </c>
      <c r="AX81" s="13">
        <v>4.10150029082323E-4</v>
      </c>
      <c r="AY81" s="13">
        <v>4.4950876390706097E-4</v>
      </c>
      <c r="AZ81" s="13">
        <v>4.30503631459237E-4</v>
      </c>
      <c r="BA81" s="13">
        <v>4.6848595134128801E-4</v>
      </c>
      <c r="BB81" s="13">
        <v>3.9013914946477802E-4</v>
      </c>
      <c r="BC81" s="13">
        <v>4.67259502617252E-4</v>
      </c>
      <c r="BD81" s="13">
        <v>4.6249871189569202E-4</v>
      </c>
      <c r="BE81" s="8">
        <v>6.4244070000000004</v>
      </c>
      <c r="BF81" s="8">
        <v>6.4009039999999997</v>
      </c>
      <c r="BG81" s="8">
        <v>6.5110599999999996</v>
      </c>
      <c r="BH81" s="8">
        <v>6.5167820000000001</v>
      </c>
      <c r="BI81" s="8">
        <v>6.61531</v>
      </c>
      <c r="BJ81" s="8">
        <v>6.2413230000000004</v>
      </c>
      <c r="BK81" s="8">
        <v>6.5835790000000003</v>
      </c>
      <c r="BL81" s="8">
        <v>6.3582609999999997</v>
      </c>
      <c r="BM81" s="8">
        <v>6.4103490000000001</v>
      </c>
      <c r="BN81" s="8">
        <v>6.5822459999999996</v>
      </c>
      <c r="BO81" s="8">
        <v>6.6520999999999999</v>
      </c>
      <c r="BP81" s="8">
        <v>6.4457209999999998</v>
      </c>
      <c r="BQ81" s="8">
        <v>6.1856280000000003</v>
      </c>
      <c r="BR81" s="8">
        <v>6.1295760000000001</v>
      </c>
      <c r="BS81" s="8">
        <v>6.2401220000000004</v>
      </c>
      <c r="BT81" s="8">
        <v>6.1785370000000004</v>
      </c>
      <c r="BU81" s="8">
        <v>6.4092580000000003</v>
      </c>
    </row>
    <row r="82" spans="1:73" x14ac:dyDescent="0.25">
      <c r="A82" s="9" t="s">
        <v>232</v>
      </c>
      <c r="B82" s="5" t="s">
        <v>233</v>
      </c>
      <c r="C82" s="3">
        <v>0.207424359243229</v>
      </c>
      <c r="D82" s="3">
        <v>1.8243602392999599E-2</v>
      </c>
      <c r="E82" s="10">
        <v>1.9646873510576739E-3</v>
      </c>
      <c r="F82" s="2">
        <v>4.4075944527839101E-3</v>
      </c>
      <c r="G82" s="2">
        <v>7.0320270270270298</v>
      </c>
      <c r="H82" s="5">
        <v>7.3395129870128901</v>
      </c>
      <c r="I82" s="2">
        <f t="shared" si="1"/>
        <v>-0.30748595998586037</v>
      </c>
      <c r="J82">
        <v>7</v>
      </c>
      <c r="K82">
        <v>4</v>
      </c>
      <c r="L82" s="5">
        <v>0.30556213635389501</v>
      </c>
      <c r="M82" s="5">
        <v>0.105292260619403</v>
      </c>
      <c r="N82" s="6">
        <v>9.4973742050678496</v>
      </c>
      <c r="O82" s="3">
        <v>6.8877310272718804</v>
      </c>
      <c r="P82" s="3" t="s">
        <v>75</v>
      </c>
      <c r="Q82" s="3">
        <v>0.207424359243229</v>
      </c>
      <c r="R82" s="3">
        <v>0</v>
      </c>
      <c r="S82" s="3">
        <v>0</v>
      </c>
      <c r="T82" s="3">
        <v>0</v>
      </c>
      <c r="U82">
        <v>0</v>
      </c>
      <c r="V82" s="3">
        <f>G82+U82</f>
        <v>7.0320270270270298</v>
      </c>
      <c r="W82" s="7">
        <v>3.6549999999999998</v>
      </c>
      <c r="X82" s="7">
        <v>6.49</v>
      </c>
      <c r="Y82" s="7">
        <v>9.5500000000000007</v>
      </c>
      <c r="Z82" s="7">
        <v>6.625</v>
      </c>
      <c r="AA82" s="7">
        <v>4.1500000000000004</v>
      </c>
      <c r="AB82" s="7">
        <v>6.0228570000000001</v>
      </c>
      <c r="AC82" s="7">
        <v>8.4250000000000007</v>
      </c>
      <c r="AD82" s="7">
        <v>7.4124999999999996</v>
      </c>
      <c r="AE82" s="7">
        <v>6.04</v>
      </c>
      <c r="AF82" s="7">
        <v>5.6124999999999998</v>
      </c>
      <c r="AG82" s="7">
        <v>7.9</v>
      </c>
      <c r="AH82" s="7">
        <v>6.3250000000000002</v>
      </c>
      <c r="AI82" s="7">
        <v>9.5500000000000007</v>
      </c>
      <c r="AJ82" s="7">
        <v>6.625</v>
      </c>
      <c r="AK82" s="7">
        <v>7.9749999999999996</v>
      </c>
      <c r="AL82" s="7">
        <v>8.65</v>
      </c>
      <c r="AM82" s="7">
        <v>7.48</v>
      </c>
      <c r="AN82" s="13">
        <v>4.9171521349883097E-3</v>
      </c>
      <c r="AO82" s="13">
        <v>1.9876747833088102E-3</v>
      </c>
      <c r="AP82" s="13">
        <v>2.15294222883112E-3</v>
      </c>
      <c r="AQ82" s="13">
        <v>2.0864908338715498E-3</v>
      </c>
      <c r="AR82" s="13">
        <v>2.0275211667997602E-3</v>
      </c>
      <c r="AS82" s="13">
        <v>1.8399091797177E-3</v>
      </c>
      <c r="AT82" s="13">
        <v>1.6439237810165399E-3</v>
      </c>
      <c r="AU82" s="13">
        <v>1.7960329486013801E-3</v>
      </c>
      <c r="AV82" s="13">
        <v>1.5988605305376001E-3</v>
      </c>
      <c r="AW82" s="13">
        <v>1.5750533938304399E-3</v>
      </c>
      <c r="AX82" s="13">
        <v>1.5686488698514499E-3</v>
      </c>
      <c r="AY82" s="13">
        <v>1.71917923806755E-3</v>
      </c>
      <c r="AZ82" s="13">
        <v>1.64649271503509E-3</v>
      </c>
      <c r="BA82" s="13">
        <v>1.79175888334581E-3</v>
      </c>
      <c r="BB82" s="13">
        <v>1.4921157929989901E-3</v>
      </c>
      <c r="BC82" s="13">
        <v>1.7870682402433399E-3</v>
      </c>
      <c r="BD82" s="13">
        <v>1.7688602469349301E-3</v>
      </c>
      <c r="BE82" s="8">
        <v>7.0419390000000002</v>
      </c>
      <c r="BF82" s="8">
        <v>7.2376550000000002</v>
      </c>
      <c r="BG82" s="8">
        <v>6.8773910000000003</v>
      </c>
      <c r="BH82" s="8">
        <v>6.8006450000000003</v>
      </c>
      <c r="BI82" s="8">
        <v>6.8816899999999999</v>
      </c>
      <c r="BJ82" s="8">
        <v>7.1866390000000004</v>
      </c>
      <c r="BK82" s="8">
        <v>7.1501150000000004</v>
      </c>
      <c r="BL82" s="8">
        <v>6.7400399999999996</v>
      </c>
      <c r="BM82" s="8">
        <v>7.2374619999999998</v>
      </c>
      <c r="BN82" s="8">
        <v>7.3289220000000004</v>
      </c>
      <c r="BO82" s="8">
        <v>7.3061350000000003</v>
      </c>
      <c r="BP82" s="8">
        <v>6.7590909999999997</v>
      </c>
      <c r="BQ82" s="8">
        <v>7.6830679999999996</v>
      </c>
      <c r="BR82" s="8">
        <v>7.6179740000000002</v>
      </c>
      <c r="BS82" s="8">
        <v>7.9724360000000001</v>
      </c>
      <c r="BT82" s="8">
        <v>7.6436140000000004</v>
      </c>
      <c r="BU82" s="8">
        <v>8.1855360000000008</v>
      </c>
    </row>
    <row r="83" spans="1:73" x14ac:dyDescent="0.25">
      <c r="A83" s="9" t="s">
        <v>234</v>
      </c>
      <c r="B83" s="5" t="s">
        <v>235</v>
      </c>
      <c r="C83" s="3">
        <v>0.38890659271758299</v>
      </c>
      <c r="D83" s="3">
        <v>3.9191355939945501E-2</v>
      </c>
      <c r="E83" s="10">
        <v>2.4741812962917899E-3</v>
      </c>
      <c r="F83" s="2">
        <v>1.1476948233760905E-3</v>
      </c>
      <c r="G83" s="2">
        <v>5.6928571428571404</v>
      </c>
      <c r="H83" s="5">
        <v>5.5900598086124296</v>
      </c>
      <c r="I83" s="2">
        <f t="shared" si="1"/>
        <v>0.10279733424471083</v>
      </c>
      <c r="J83">
        <v>2</v>
      </c>
      <c r="K83">
        <v>3</v>
      </c>
      <c r="L83" s="5">
        <v>0.39457370450075802</v>
      </c>
      <c r="M83" s="5">
        <v>0.12905513739093699</v>
      </c>
      <c r="N83" s="6">
        <v>7.7486260540777696</v>
      </c>
      <c r="O83" s="3">
        <v>4.96</v>
      </c>
      <c r="P83" s="3" t="s">
        <v>75</v>
      </c>
      <c r="Q83" s="3">
        <v>0.38890659271758299</v>
      </c>
      <c r="R83" s="3">
        <v>0</v>
      </c>
      <c r="S83" s="3">
        <v>0</v>
      </c>
      <c r="T83" s="3">
        <v>0</v>
      </c>
      <c r="U83">
        <v>0</v>
      </c>
      <c r="V83" s="3">
        <f>G83+U83</f>
        <v>5.6928571428571404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3.7</v>
      </c>
      <c r="AE83" s="7">
        <v>4.1500000000000004</v>
      </c>
      <c r="AF83" s="7">
        <v>0</v>
      </c>
      <c r="AG83" s="7">
        <v>0</v>
      </c>
      <c r="AH83" s="7">
        <v>0</v>
      </c>
      <c r="AI83" s="7">
        <v>0</v>
      </c>
      <c r="AJ83" s="7">
        <v>9.5500000000000007</v>
      </c>
      <c r="AK83" s="7">
        <v>6.625</v>
      </c>
      <c r="AL83" s="7">
        <v>0</v>
      </c>
      <c r="AM83" s="7">
        <v>4.5999999999999996</v>
      </c>
      <c r="AN83" s="13">
        <v>6.19229611106311E-3</v>
      </c>
      <c r="AO83" s="13">
        <v>2.5031299607675499E-3</v>
      </c>
      <c r="AP83" s="13">
        <v>2.71125550419159E-3</v>
      </c>
      <c r="AQ83" s="13">
        <v>2.62757155395241E-3</v>
      </c>
      <c r="AR83" s="13">
        <v>2.5533095360089301E-3</v>
      </c>
      <c r="AS83" s="13">
        <v>2.3170449368864901E-3</v>
      </c>
      <c r="AT83" s="13">
        <v>2.0702354852189398E-3</v>
      </c>
      <c r="AU83" s="13">
        <v>2.26179047091697E-3</v>
      </c>
      <c r="AV83" s="13">
        <v>2.0134861752459901E-3</v>
      </c>
      <c r="AW83" s="13">
        <v>1.9835052358729102E-3</v>
      </c>
      <c r="AX83" s="13">
        <v>1.9754398541560999E-3</v>
      </c>
      <c r="AY83" s="13">
        <v>2.16500661721573E-3</v>
      </c>
      <c r="AZ83" s="13">
        <v>2.0734706098797201E-3</v>
      </c>
      <c r="BA83" s="13">
        <v>2.2564080306478902E-3</v>
      </c>
      <c r="BB83" s="13">
        <v>1.8790597826937999E-3</v>
      </c>
      <c r="BC83" s="13">
        <v>2.2505009831853798E-3</v>
      </c>
      <c r="BD83" s="13">
        <v>2.2275711890568498E-3</v>
      </c>
      <c r="BE83" s="8">
        <v>5.5750000000000002</v>
      </c>
      <c r="BF83" s="8">
        <v>4.9763640000000002</v>
      </c>
      <c r="BG83" s="8">
        <v>5.25</v>
      </c>
      <c r="BH83" s="8">
        <v>8.65</v>
      </c>
      <c r="BI83" s="8">
        <v>4.8879999999999999</v>
      </c>
      <c r="BJ83" s="8">
        <v>5.3823080000000001</v>
      </c>
      <c r="BK83" s="8">
        <v>5.5232349999999997</v>
      </c>
      <c r="BL83" s="8">
        <v>5.7424489999999997</v>
      </c>
      <c r="BM83" s="8">
        <v>5.628571</v>
      </c>
      <c r="BN83" s="8">
        <v>5.6230000000000002</v>
      </c>
      <c r="BO83" s="8">
        <v>5.6743750000000004</v>
      </c>
      <c r="BP83" s="8">
        <v>5.031053</v>
      </c>
      <c r="BQ83" s="8">
        <v>6.5767860000000002</v>
      </c>
      <c r="BR83" s="8">
        <v>5.722353</v>
      </c>
      <c r="BS83" s="8">
        <v>6.0653129999999997</v>
      </c>
      <c r="BT83" s="8">
        <v>4.9811759999999996</v>
      </c>
      <c r="BU83" s="8">
        <v>5.6862069999999996</v>
      </c>
    </row>
    <row r="84" spans="1:73" x14ac:dyDescent="0.25">
      <c r="A84" s="9" t="s">
        <v>236</v>
      </c>
      <c r="B84" s="5" t="s">
        <v>237</v>
      </c>
      <c r="C84" s="3">
        <v>0.36424025111762398</v>
      </c>
      <c r="D84" s="3">
        <v>1.1331406191687999E-2</v>
      </c>
      <c r="E84" s="10">
        <v>2.3172567232005829E-3</v>
      </c>
      <c r="F84" s="2">
        <v>1.5644760322633806E-2</v>
      </c>
      <c r="G84" s="2">
        <v>7.2314703425229601</v>
      </c>
      <c r="H84" s="5">
        <v>7.2348333234623903</v>
      </c>
      <c r="I84" s="2">
        <f t="shared" si="1"/>
        <v>-3.3629809394302157E-3</v>
      </c>
      <c r="J84">
        <v>4</v>
      </c>
      <c r="K84">
        <v>1</v>
      </c>
      <c r="L84" s="5">
        <v>3.0596312984860902E-2</v>
      </c>
      <c r="M84" s="5">
        <v>5.00892572395387E-2</v>
      </c>
      <c r="N84" s="6">
        <v>19.964360725449801</v>
      </c>
      <c r="O84" s="3">
        <v>6.3525494162687703</v>
      </c>
      <c r="P84" s="3" t="s">
        <v>78</v>
      </c>
      <c r="Q84" s="3">
        <v>34.783095558232297</v>
      </c>
      <c r="R84" s="3">
        <v>1.04586654481692E-2</v>
      </c>
      <c r="S84" s="3">
        <v>0</v>
      </c>
      <c r="T84" s="3">
        <v>8.2959387275542695E-3</v>
      </c>
      <c r="U84">
        <v>0</v>
      </c>
      <c r="V84" s="3">
        <f>G84+U84</f>
        <v>7.2314703425229601</v>
      </c>
      <c r="W84" s="7">
        <v>6.8387500000000001</v>
      </c>
      <c r="X84" s="7">
        <v>7.4349999999999996</v>
      </c>
      <c r="Y84" s="7">
        <v>8.125</v>
      </c>
      <c r="Z84" s="7">
        <v>6.7149999999999999</v>
      </c>
      <c r="AA84" s="7">
        <v>8.3000000000000007</v>
      </c>
      <c r="AB84" s="7">
        <v>7.8287500000000003</v>
      </c>
      <c r="AC84" s="7">
        <v>7.7786359999999997</v>
      </c>
      <c r="AD84" s="7">
        <v>7.3224999999999998</v>
      </c>
      <c r="AE84" s="7">
        <v>6.4630000000000001</v>
      </c>
      <c r="AF84" s="7">
        <v>7.1135710000000003</v>
      </c>
      <c r="AG84" s="7">
        <v>6.67</v>
      </c>
      <c r="AH84" s="7">
        <v>7.9864290000000002</v>
      </c>
      <c r="AI84" s="7">
        <v>7.1120000000000001</v>
      </c>
      <c r="AJ84" s="7">
        <v>7.5284620000000002</v>
      </c>
      <c r="AK84" s="7">
        <v>6.38</v>
      </c>
      <c r="AL84" s="7">
        <v>6.4787499999999998</v>
      </c>
      <c r="AM84" s="7">
        <v>8.0350000000000001</v>
      </c>
      <c r="AN84" s="13">
        <v>5.7995506703230502E-3</v>
      </c>
      <c r="AO84" s="13">
        <v>2.3443693230269101E-3</v>
      </c>
      <c r="AP84" s="13">
        <v>2.5392945354565499E-3</v>
      </c>
      <c r="AQ84" s="13">
        <v>2.4609182270565301E-3</v>
      </c>
      <c r="AR84" s="13">
        <v>2.3913662663267799E-3</v>
      </c>
      <c r="AS84" s="13">
        <v>2.1700867135343799E-3</v>
      </c>
      <c r="AT84" s="13">
        <v>1.93893111386865E-3</v>
      </c>
      <c r="AU84" s="13">
        <v>2.1183367536803301E-3</v>
      </c>
      <c r="AV84" s="13">
        <v>1.8857811202651501E-3</v>
      </c>
      <c r="AW84" s="13">
        <v>1.85770171742015E-3</v>
      </c>
      <c r="AX84" s="13">
        <v>1.85014788131425E-3</v>
      </c>
      <c r="AY84" s="13">
        <v>2.0276914012065401E-3</v>
      </c>
      <c r="AZ84" s="13">
        <v>1.94196105123896E-3</v>
      </c>
      <c r="BA84" s="13">
        <v>2.1132956938681698E-3</v>
      </c>
      <c r="BB84" s="13">
        <v>1.7598807012521899E-3</v>
      </c>
      <c r="BC84" s="13">
        <v>2.10776329999417E-3</v>
      </c>
      <c r="BD84" s="13">
        <v>2.0862878245770798E-3</v>
      </c>
      <c r="BE84" s="8">
        <v>7.8045650000000002</v>
      </c>
      <c r="BF84" s="8">
        <v>7.9024760000000001</v>
      </c>
      <c r="BG84" s="8">
        <v>7.7362140000000004</v>
      </c>
      <c r="BH84" s="8">
        <v>7.5797489999999996</v>
      </c>
      <c r="BI84" s="8">
        <v>7.7658769999999997</v>
      </c>
      <c r="BJ84" s="8">
        <v>7.3881199999999998</v>
      </c>
      <c r="BK84" s="8">
        <v>7.0751220000000004</v>
      </c>
      <c r="BL84" s="8">
        <v>7.1316819999999996</v>
      </c>
      <c r="BM84" s="8">
        <v>6.8838609999999996</v>
      </c>
      <c r="BN84" s="8">
        <v>7.0031999999999996</v>
      </c>
      <c r="BO84" s="8">
        <v>7.094417</v>
      </c>
      <c r="BP84" s="8">
        <v>6.9446199999999996</v>
      </c>
      <c r="BQ84" s="8">
        <v>7.1768770000000002</v>
      </c>
      <c r="BR84" s="8">
        <v>6.9163500000000004</v>
      </c>
      <c r="BS84" s="8">
        <v>7.294727</v>
      </c>
      <c r="BT84" s="8">
        <v>7.2118950000000002</v>
      </c>
      <c r="BU84" s="8">
        <v>7.3029809999999999</v>
      </c>
    </row>
    <row r="85" spans="1:73" x14ac:dyDescent="0.25">
      <c r="A85" s="9" t="s">
        <v>238</v>
      </c>
      <c r="B85" s="5" t="s">
        <v>239</v>
      </c>
      <c r="C85" s="3">
        <v>0.42718696302932702</v>
      </c>
      <c r="D85" s="3">
        <v>3.1293525226015403E-2</v>
      </c>
      <c r="E85" s="10">
        <v>2.7177168341663538E-3</v>
      </c>
      <c r="F85" s="2">
        <v>2.9254242921176502E-3</v>
      </c>
      <c r="G85" s="2">
        <v>6.225625</v>
      </c>
      <c r="H85" s="5">
        <v>7.2133652530779999</v>
      </c>
      <c r="I85" s="2">
        <f t="shared" si="1"/>
        <v>-0.98774025307799995</v>
      </c>
      <c r="J85">
        <v>3</v>
      </c>
      <c r="K85">
        <v>2</v>
      </c>
      <c r="L85" s="5">
        <v>0.18143864478918001</v>
      </c>
      <c r="M85" s="5">
        <v>0.11372801077787</v>
      </c>
      <c r="N85" s="6">
        <v>8.7929085645678704</v>
      </c>
      <c r="O85" s="3">
        <v>6.3005518829353999</v>
      </c>
      <c r="P85" s="3" t="s">
        <v>75</v>
      </c>
      <c r="Q85" s="3">
        <v>0.42718696302932702</v>
      </c>
      <c r="R85" s="3">
        <v>0</v>
      </c>
      <c r="S85" s="3">
        <v>0</v>
      </c>
      <c r="T85" s="3">
        <v>0</v>
      </c>
      <c r="U85">
        <v>0</v>
      </c>
      <c r="V85" s="3">
        <f>G85+U85</f>
        <v>6.225625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6.1749999999999998</v>
      </c>
      <c r="AC85" s="7">
        <v>5.5</v>
      </c>
      <c r="AD85" s="7">
        <v>5.5</v>
      </c>
      <c r="AE85" s="7">
        <v>3.7</v>
      </c>
      <c r="AF85" s="7">
        <v>9.5500000000000007</v>
      </c>
      <c r="AG85" s="7">
        <v>3.61</v>
      </c>
      <c r="AH85" s="7">
        <v>0</v>
      </c>
      <c r="AI85" s="7">
        <v>6.1</v>
      </c>
      <c r="AJ85" s="7">
        <v>9.5500000000000007</v>
      </c>
      <c r="AK85" s="7">
        <v>9.5500000000000007</v>
      </c>
      <c r="AL85" s="7">
        <v>5.95</v>
      </c>
      <c r="AM85" s="7">
        <v>0</v>
      </c>
      <c r="AN85" s="13">
        <v>6.8018085046563101E-3</v>
      </c>
      <c r="AO85" s="13">
        <v>2.7495149375997298E-3</v>
      </c>
      <c r="AP85" s="13">
        <v>2.9781264358077499E-3</v>
      </c>
      <c r="AQ85" s="13">
        <v>2.8862054110003E-3</v>
      </c>
      <c r="AR85" s="13">
        <v>2.8046337264165402E-3</v>
      </c>
      <c r="AS85" s="13">
        <v>2.5451134239573101E-3</v>
      </c>
      <c r="AT85" s="13">
        <v>2.27401033113482E-3</v>
      </c>
      <c r="AU85" s="13">
        <v>2.4844202190764399E-3</v>
      </c>
      <c r="AV85" s="13">
        <v>2.2116751436237199E-3</v>
      </c>
      <c r="AW85" s="13">
        <v>2.1787431576934801E-3</v>
      </c>
      <c r="AX85" s="13">
        <v>2.1698838943490298E-3</v>
      </c>
      <c r="AY85" s="13">
        <v>2.3781098573929398E-3</v>
      </c>
      <c r="AZ85" s="13">
        <v>2.27756389156485E-3</v>
      </c>
      <c r="BA85" s="13">
        <v>2.4785079811373298E-3</v>
      </c>
      <c r="BB85" s="13">
        <v>2.0640170594959E-3</v>
      </c>
      <c r="BC85" s="13">
        <v>2.47201949852163E-3</v>
      </c>
      <c r="BD85" s="13">
        <v>2.4468327073998699E-3</v>
      </c>
      <c r="BE85" s="8">
        <v>7.9685709999999998</v>
      </c>
      <c r="BF85" s="8">
        <v>7.309844</v>
      </c>
      <c r="BG85" s="8">
        <v>6.8993549999999999</v>
      </c>
      <c r="BH85" s="8">
        <v>7.3610420000000003</v>
      </c>
      <c r="BI85" s="8">
        <v>7.9749999999999996</v>
      </c>
      <c r="BJ85" s="8">
        <v>7.0324999999999998</v>
      </c>
      <c r="BK85" s="8">
        <v>6.6735530000000001</v>
      </c>
      <c r="BL85" s="8">
        <v>7.5235479999999999</v>
      </c>
      <c r="BM85" s="8">
        <v>6.623246</v>
      </c>
      <c r="BN85" s="8">
        <v>7.1478570000000001</v>
      </c>
      <c r="BO85" s="8">
        <v>7.3906720000000004</v>
      </c>
      <c r="BP85" s="8">
        <v>7.1643080000000001</v>
      </c>
      <c r="BQ85" s="8">
        <v>6.4294440000000002</v>
      </c>
      <c r="BR85" s="8">
        <v>7.1215520000000003</v>
      </c>
      <c r="BS85" s="8">
        <v>8.135294</v>
      </c>
      <c r="BT85" s="8">
        <v>7.3984379999999996</v>
      </c>
      <c r="BU85" s="8">
        <v>7.6224999999999996</v>
      </c>
    </row>
    <row r="86" spans="1:73" x14ac:dyDescent="0.25">
      <c r="A86" s="9" t="s">
        <v>240</v>
      </c>
      <c r="B86" s="5" t="s">
        <v>241</v>
      </c>
      <c r="C86" s="3">
        <v>0.42173249469723101</v>
      </c>
      <c r="D86" s="3">
        <v>1.0479093173325399E-2</v>
      </c>
      <c r="E86" s="10">
        <v>2.6830161019566331E-3</v>
      </c>
      <c r="F86" s="2">
        <v>1.0422606410331556E-2</v>
      </c>
      <c r="G86" s="2">
        <v>7.2188636363636203</v>
      </c>
      <c r="H86" s="5">
        <v>6.8360554349969203</v>
      </c>
      <c r="I86" s="2">
        <f t="shared" si="1"/>
        <v>0.38280820136670002</v>
      </c>
      <c r="J86">
        <v>1</v>
      </c>
      <c r="K86">
        <v>2</v>
      </c>
      <c r="L86" s="5">
        <v>6.9036864733232103E-2</v>
      </c>
      <c r="M86" s="5">
        <v>5.0486860765271299E-2</v>
      </c>
      <c r="N86" s="6">
        <v>19.8071336748249</v>
      </c>
      <c r="O86" s="3">
        <v>6.7958979254233602</v>
      </c>
      <c r="P86" s="3" t="s">
        <v>75</v>
      </c>
      <c r="Q86" s="3">
        <v>0.42173249469723101</v>
      </c>
      <c r="R86" s="3">
        <v>0</v>
      </c>
      <c r="S86" s="3">
        <v>0</v>
      </c>
      <c r="T86" s="3">
        <v>0</v>
      </c>
      <c r="U86">
        <v>0</v>
      </c>
      <c r="V86" s="3">
        <f>G86+U86</f>
        <v>7.2188636363636203</v>
      </c>
      <c r="W86" s="7">
        <v>7.09</v>
      </c>
      <c r="X86" s="7">
        <v>6.85</v>
      </c>
      <c r="Y86" s="7">
        <v>7.8040000000000003</v>
      </c>
      <c r="Z86" s="7">
        <v>8.0875000000000004</v>
      </c>
      <c r="AA86" s="7">
        <v>6.625</v>
      </c>
      <c r="AB86" s="7">
        <v>7.4157140000000004</v>
      </c>
      <c r="AC86" s="7">
        <v>5.8150000000000004</v>
      </c>
      <c r="AD86" s="7">
        <v>6.8764710000000004</v>
      </c>
      <c r="AE86" s="7">
        <v>8.3125</v>
      </c>
      <c r="AF86" s="7">
        <v>8.7231249999999996</v>
      </c>
      <c r="AG86" s="7">
        <v>7.0942860000000003</v>
      </c>
      <c r="AH86" s="7">
        <v>7.6458820000000003</v>
      </c>
      <c r="AI86" s="7">
        <v>7.444</v>
      </c>
      <c r="AJ86" s="7">
        <v>5.6260000000000003</v>
      </c>
      <c r="AK86" s="7">
        <v>7.338571</v>
      </c>
      <c r="AL86" s="7">
        <v>7.8174999999999999</v>
      </c>
      <c r="AM86" s="7">
        <v>7.6857139999999999</v>
      </c>
      <c r="AN86" s="13">
        <v>6.7149607019365296E-3</v>
      </c>
      <c r="AO86" s="13">
        <v>2.7144081963981501E-3</v>
      </c>
      <c r="AP86" s="13">
        <v>2.9401007052988E-3</v>
      </c>
      <c r="AQ86" s="13">
        <v>2.8493533593773098E-3</v>
      </c>
      <c r="AR86" s="13">
        <v>2.7688232097861001E-3</v>
      </c>
      <c r="AS86" s="13">
        <v>2.5126165507518999E-3</v>
      </c>
      <c r="AT86" s="13">
        <v>2.24497499435844E-3</v>
      </c>
      <c r="AU86" s="13">
        <v>2.45269829733877E-3</v>
      </c>
      <c r="AV86" s="13">
        <v>2.1834357237073602E-3</v>
      </c>
      <c r="AW86" s="13">
        <v>2.1509242245660799E-3</v>
      </c>
      <c r="AX86" s="13">
        <v>2.14217807930701E-3</v>
      </c>
      <c r="AY86" s="13">
        <v>2.3477453424849701E-3</v>
      </c>
      <c r="AZ86" s="13">
        <v>2.2484831817211502E-3</v>
      </c>
      <c r="BA86" s="13">
        <v>2.4468615488630599E-3</v>
      </c>
      <c r="BB86" s="13">
        <v>2.0376629881822699E-3</v>
      </c>
      <c r="BC86" s="13">
        <v>2.44045591339863E-3</v>
      </c>
      <c r="BD86" s="13">
        <v>2.41559071578616E-3</v>
      </c>
      <c r="BE86" s="8">
        <v>6.8821430000000001</v>
      </c>
      <c r="BF86" s="8">
        <v>7.0522499999999999</v>
      </c>
      <c r="BG86" s="8">
        <v>6.7477840000000002</v>
      </c>
      <c r="BH86" s="8">
        <v>6.8907720000000001</v>
      </c>
      <c r="BI86" s="8">
        <v>7.1696179999999998</v>
      </c>
      <c r="BJ86" s="8">
        <v>6.6552790000000002</v>
      </c>
      <c r="BK86" s="8">
        <v>6.4748390000000002</v>
      </c>
      <c r="BL86" s="8">
        <v>6.3749349999999998</v>
      </c>
      <c r="BM86" s="8">
        <v>6.7363970000000002</v>
      </c>
      <c r="BN86" s="8">
        <v>6.7381739999999999</v>
      </c>
      <c r="BO86" s="8">
        <v>6.64032</v>
      </c>
      <c r="BP86" s="8">
        <v>6.8903999999999996</v>
      </c>
      <c r="BQ86" s="8">
        <v>7.0836600000000001</v>
      </c>
      <c r="BR86" s="8">
        <v>6.935149</v>
      </c>
      <c r="BS86" s="8">
        <v>7.1863859999999997</v>
      </c>
      <c r="BT86" s="8">
        <v>7.1607729999999998</v>
      </c>
      <c r="BU86" s="8">
        <v>7.1260909999999997</v>
      </c>
    </row>
    <row r="87" spans="1:73" x14ac:dyDescent="0.25">
      <c r="A87" s="9" t="s">
        <v>242</v>
      </c>
      <c r="B87" s="5" t="s">
        <v>243</v>
      </c>
      <c r="C87" s="3">
        <v>0.26797704331975802</v>
      </c>
      <c r="D87" s="3">
        <v>1.6913110087731501E-2</v>
      </c>
      <c r="E87" s="10">
        <v>1.7048407016817949E-3</v>
      </c>
      <c r="F87" s="2">
        <v>7.9420220483183507E-2</v>
      </c>
      <c r="G87" s="2">
        <v>9.0010733532933092</v>
      </c>
      <c r="H87" s="5">
        <v>9.0738488128551893</v>
      </c>
      <c r="I87" s="2">
        <f t="shared" si="1"/>
        <v>-7.277545956188014E-2</v>
      </c>
      <c r="J87">
        <v>8</v>
      </c>
      <c r="K87">
        <v>2</v>
      </c>
      <c r="L87" s="5">
        <v>2.11570214477169E-2</v>
      </c>
      <c r="M87" s="5">
        <v>3.3081104244492503E-2</v>
      </c>
      <c r="N87" s="6">
        <v>30.228737003737901</v>
      </c>
      <c r="O87" s="3">
        <v>8.5332736403860991</v>
      </c>
      <c r="P87" s="3" t="s">
        <v>75</v>
      </c>
      <c r="Q87" s="3">
        <v>0.26797704331975802</v>
      </c>
      <c r="R87" s="3">
        <v>0</v>
      </c>
      <c r="S87" s="3">
        <v>0</v>
      </c>
      <c r="T87" s="3">
        <v>0</v>
      </c>
      <c r="U87">
        <v>0</v>
      </c>
      <c r="V87" s="3">
        <f>G87+U87</f>
        <v>9.0010733532933092</v>
      </c>
      <c r="W87" s="7">
        <v>8.9419229999999992</v>
      </c>
      <c r="X87" s="7">
        <v>8.8063160000000007</v>
      </c>
      <c r="Y87" s="7">
        <v>8.7436729999999994</v>
      </c>
      <c r="Z87" s="7">
        <v>9.0906249999999993</v>
      </c>
      <c r="AA87" s="7">
        <v>8.4586539999999992</v>
      </c>
      <c r="AB87" s="7">
        <v>8.6739999999999995</v>
      </c>
      <c r="AC87" s="7">
        <v>9.1053929999999994</v>
      </c>
      <c r="AD87" s="7">
        <v>9.0158819999999995</v>
      </c>
      <c r="AE87" s="7">
        <v>8.8963970000000003</v>
      </c>
      <c r="AF87" s="7">
        <v>9.0995509999999999</v>
      </c>
      <c r="AG87" s="7">
        <v>9.0063110000000002</v>
      </c>
      <c r="AH87" s="7">
        <v>8.9290350000000007</v>
      </c>
      <c r="AI87" s="7">
        <v>9.1255000000000006</v>
      </c>
      <c r="AJ87" s="7">
        <v>9.1470920000000007</v>
      </c>
      <c r="AK87" s="7">
        <v>9.0821620000000003</v>
      </c>
      <c r="AL87" s="7">
        <v>9.2529909999999997</v>
      </c>
      <c r="AM87" s="7">
        <v>8.9521569999999997</v>
      </c>
      <c r="AN87" s="13">
        <v>4.2668168508219403E-3</v>
      </c>
      <c r="AO87" s="13">
        <v>1.7247878500704699E-3</v>
      </c>
      <c r="AP87" s="13">
        <v>1.86819726716562E-3</v>
      </c>
      <c r="AQ87" s="13">
        <v>1.81053463562803E-3</v>
      </c>
      <c r="AR87" s="13">
        <v>1.7593642096900401E-3</v>
      </c>
      <c r="AS87" s="13">
        <v>1.59656550712359E-3</v>
      </c>
      <c r="AT87" s="13">
        <v>1.4265008480004999E-3</v>
      </c>
      <c r="AU87" s="13">
        <v>1.5584922815779501E-3</v>
      </c>
      <c r="AV87" s="13">
        <v>1.3873975965212101E-3</v>
      </c>
      <c r="AW87" s="13">
        <v>1.36673915657807E-3</v>
      </c>
      <c r="AX87" s="13">
        <v>1.36118168548813E-3</v>
      </c>
      <c r="AY87" s="13">
        <v>1.4918031293712E-3</v>
      </c>
      <c r="AZ87" s="13">
        <v>1.4287300185972401E-3</v>
      </c>
      <c r="BA87" s="13">
        <v>1.5547834978849901E-3</v>
      </c>
      <c r="BB87" s="13">
        <v>1.29477076042529E-3</v>
      </c>
      <c r="BC87" s="13">
        <v>1.5507132323163599E-3</v>
      </c>
      <c r="BD87" s="13">
        <v>1.53491340132981E-3</v>
      </c>
      <c r="BE87" s="8">
        <v>9.1339810000000003</v>
      </c>
      <c r="BF87" s="8">
        <v>9.0929450000000003</v>
      </c>
      <c r="BG87" s="8">
        <v>9.0793479999999995</v>
      </c>
      <c r="BH87" s="8">
        <v>9.0752819999999996</v>
      </c>
      <c r="BI87" s="8">
        <v>9.0736509999999999</v>
      </c>
      <c r="BJ87" s="8">
        <v>9.0172299999999996</v>
      </c>
      <c r="BK87" s="8">
        <v>9.0621270000000003</v>
      </c>
      <c r="BL87" s="8">
        <v>9.0821799999999993</v>
      </c>
      <c r="BM87" s="8">
        <v>9.0355670000000003</v>
      </c>
      <c r="BN87" s="8">
        <v>9.0326240000000002</v>
      </c>
      <c r="BO87" s="8">
        <v>9.075075</v>
      </c>
      <c r="BP87" s="8">
        <v>9.0123200000000008</v>
      </c>
      <c r="BQ87" s="8">
        <v>9.0925799999999999</v>
      </c>
      <c r="BR87" s="8">
        <v>9.0753819999999994</v>
      </c>
      <c r="BS87" s="8">
        <v>9.1445819999999998</v>
      </c>
      <c r="BT87" s="8">
        <v>9.1151870000000006</v>
      </c>
      <c r="BU87" s="8">
        <v>9.1259189999999997</v>
      </c>
    </row>
    <row r="88" spans="1:73" x14ac:dyDescent="0.25">
      <c r="A88" s="9" t="s">
        <v>244</v>
      </c>
      <c r="B88" s="5" t="s">
        <v>245</v>
      </c>
      <c r="C88" s="3">
        <v>0.30270417771854002</v>
      </c>
      <c r="D88" s="3">
        <v>1.4647339120621499E-2</v>
      </c>
      <c r="E88" s="10">
        <v>1.925770940490248E-3</v>
      </c>
      <c r="F88" s="2">
        <v>5.7600466589669266E-3</v>
      </c>
      <c r="G88" s="2">
        <v>6.5034188034187999</v>
      </c>
      <c r="H88" s="5">
        <v>6.5523822733422801</v>
      </c>
      <c r="I88" s="2">
        <f t="shared" si="1"/>
        <v>-4.8963469923480218E-2</v>
      </c>
      <c r="J88">
        <v>7</v>
      </c>
      <c r="K88">
        <v>4</v>
      </c>
      <c r="L88" s="5">
        <v>0.109318589198673</v>
      </c>
      <c r="M88" s="5">
        <v>6.0428290811993503E-2</v>
      </c>
      <c r="N88" s="6">
        <v>16.548540204640801</v>
      </c>
      <c r="O88" s="3">
        <v>6.92539251446102</v>
      </c>
      <c r="P88" s="3" t="s">
        <v>75</v>
      </c>
      <c r="Q88" s="3">
        <v>0.30270417771854002</v>
      </c>
      <c r="R88" s="3">
        <v>0</v>
      </c>
      <c r="S88" s="3">
        <v>0</v>
      </c>
      <c r="T88" s="3">
        <v>0</v>
      </c>
      <c r="U88">
        <v>0</v>
      </c>
      <c r="V88" s="3">
        <f>G88+U88</f>
        <v>6.5034188034187999</v>
      </c>
      <c r="W88" s="7">
        <v>5.4325000000000001</v>
      </c>
      <c r="X88" s="7">
        <v>5.8937499999999998</v>
      </c>
      <c r="Y88" s="7">
        <v>5.6124999999999998</v>
      </c>
      <c r="Z88" s="7">
        <v>0</v>
      </c>
      <c r="AA88" s="7">
        <v>7.9749999999999996</v>
      </c>
      <c r="AB88" s="7">
        <v>9.5500000000000007</v>
      </c>
      <c r="AC88" s="7">
        <v>5.9607140000000003</v>
      </c>
      <c r="AD88" s="7">
        <v>5.1624999999999996</v>
      </c>
      <c r="AE88" s="7">
        <v>6.1749999999999998</v>
      </c>
      <c r="AF88" s="7">
        <v>8.8000000000000007</v>
      </c>
      <c r="AG88" s="7">
        <v>7.1585710000000002</v>
      </c>
      <c r="AH88" s="7">
        <v>6.2359999999999998</v>
      </c>
      <c r="AI88" s="7">
        <v>6.76</v>
      </c>
      <c r="AJ88" s="7">
        <v>7.78</v>
      </c>
      <c r="AK88" s="7">
        <v>6.7240000000000002</v>
      </c>
      <c r="AL88" s="7">
        <v>5.7571430000000001</v>
      </c>
      <c r="AM88" s="7">
        <v>7.39</v>
      </c>
      <c r="AN88" s="13">
        <v>4.81975347702643E-3</v>
      </c>
      <c r="AO88" s="13">
        <v>1.94830303904624E-3</v>
      </c>
      <c r="AP88" s="13">
        <v>2.110296876806E-3</v>
      </c>
      <c r="AQ88" s="13">
        <v>2.04516174713803E-3</v>
      </c>
      <c r="AR88" s="13">
        <v>1.9873601477353999E-3</v>
      </c>
      <c r="AS88" s="13">
        <v>1.8034643677703401E-3</v>
      </c>
      <c r="AT88" s="13">
        <v>1.6113610362270699E-3</v>
      </c>
      <c r="AU88" s="13">
        <v>1.7604572344386399E-3</v>
      </c>
      <c r="AV88" s="13">
        <v>1.5671903959419101E-3</v>
      </c>
      <c r="AW88" s="13">
        <v>1.5438548295871599E-3</v>
      </c>
      <c r="AX88" s="13">
        <v>1.5375771660394401E-3</v>
      </c>
      <c r="AY88" s="13">
        <v>1.68512583764656E-3</v>
      </c>
      <c r="AZ88" s="13">
        <v>1.6138790849528899E-3</v>
      </c>
      <c r="BA88" s="13">
        <v>1.7562678296142401E-3</v>
      </c>
      <c r="BB88" s="13">
        <v>1.4625600518357799E-3</v>
      </c>
      <c r="BC88" s="13">
        <v>1.75167009849225E-3</v>
      </c>
      <c r="BD88" s="13">
        <v>1.73382276803578E-3</v>
      </c>
      <c r="BE88" s="8">
        <v>6.3798859999999999</v>
      </c>
      <c r="BF88" s="8">
        <v>6.5658669999999999</v>
      </c>
      <c r="BG88" s="8">
        <v>6.4183380000000003</v>
      </c>
      <c r="BH88" s="8">
        <v>6.6349999999999998</v>
      </c>
      <c r="BI88" s="8">
        <v>6.0654389999999996</v>
      </c>
      <c r="BJ88" s="8">
        <v>6.3433890000000002</v>
      </c>
      <c r="BK88" s="8">
        <v>6.2154610000000003</v>
      </c>
      <c r="BL88" s="8">
        <v>6.277965</v>
      </c>
      <c r="BM88" s="8">
        <v>6.3891369999999998</v>
      </c>
      <c r="BN88" s="8">
        <v>6.5272300000000003</v>
      </c>
      <c r="BO88" s="8">
        <v>6.5967700000000002</v>
      </c>
      <c r="BP88" s="8">
        <v>6.5379880000000004</v>
      </c>
      <c r="BQ88" s="8">
        <v>6.7401790000000004</v>
      </c>
      <c r="BR88" s="8">
        <v>6.9187019999999997</v>
      </c>
      <c r="BS88" s="8">
        <v>7.2158819999999997</v>
      </c>
      <c r="BT88" s="8">
        <v>6.727614</v>
      </c>
      <c r="BU88" s="8">
        <v>6.9245710000000003</v>
      </c>
    </row>
    <row r="89" spans="1:73" x14ac:dyDescent="0.25">
      <c r="A89" s="9" t="s">
        <v>246</v>
      </c>
      <c r="B89" s="5" t="s">
        <v>247</v>
      </c>
      <c r="C89" s="3">
        <v>0.26478465147852198</v>
      </c>
      <c r="D89" s="3">
        <v>1.6623286038414301E-2</v>
      </c>
      <c r="E89" s="10">
        <v>1.684531053216266E-3</v>
      </c>
      <c r="F89" s="2">
        <v>5.1156467516782177E-3</v>
      </c>
      <c r="G89" s="2">
        <v>7.3207142857142804</v>
      </c>
      <c r="H89" s="5">
        <v>6.9781970983721502</v>
      </c>
      <c r="I89" s="2">
        <f t="shared" si="1"/>
        <v>0.34251718734213021</v>
      </c>
      <c r="J89">
        <v>6</v>
      </c>
      <c r="K89">
        <v>4</v>
      </c>
      <c r="L89" s="5">
        <v>0.220139758465558</v>
      </c>
      <c r="M89" s="5">
        <v>0.108002865086433</v>
      </c>
      <c r="N89" s="6">
        <v>9.2590136307931807</v>
      </c>
      <c r="O89" s="3">
        <v>7.0730060332107598</v>
      </c>
      <c r="P89" s="3" t="s">
        <v>75</v>
      </c>
      <c r="Q89" s="3">
        <v>0.26478465147852198</v>
      </c>
      <c r="R89" s="3">
        <v>0</v>
      </c>
      <c r="S89" s="3">
        <v>0</v>
      </c>
      <c r="T89" s="3">
        <v>0</v>
      </c>
      <c r="U89">
        <v>0</v>
      </c>
      <c r="V89" s="3">
        <f>G89+U89</f>
        <v>7.3207142857142804</v>
      </c>
      <c r="W89" s="7">
        <v>5.95</v>
      </c>
      <c r="X89" s="7">
        <v>6.625</v>
      </c>
      <c r="Y89" s="7">
        <v>6.85</v>
      </c>
      <c r="Z89" s="7">
        <v>7.5250000000000004</v>
      </c>
      <c r="AA89" s="7">
        <v>2.71</v>
      </c>
      <c r="AB89" s="7">
        <v>6.94</v>
      </c>
      <c r="AC89" s="7">
        <v>6.25</v>
      </c>
      <c r="AD89" s="7">
        <v>6.9249999999999998</v>
      </c>
      <c r="AE89" s="7">
        <v>7.75</v>
      </c>
      <c r="AF89" s="7">
        <v>8.2539999999999996</v>
      </c>
      <c r="AG89" s="7">
        <v>7.3</v>
      </c>
      <c r="AH89" s="7">
        <v>7.3409089999999999</v>
      </c>
      <c r="AI89" s="7">
        <v>6.625</v>
      </c>
      <c r="AJ89" s="7">
        <v>8.9714290000000005</v>
      </c>
      <c r="AK89" s="7">
        <v>7.5250000000000004</v>
      </c>
      <c r="AL89" s="7">
        <v>6.5620000000000003</v>
      </c>
      <c r="AM89" s="7">
        <v>7.75</v>
      </c>
      <c r="AN89" s="13">
        <v>4.2159865590407197E-3</v>
      </c>
      <c r="AO89" s="13">
        <v>1.7042405726163401E-3</v>
      </c>
      <c r="AP89" s="13">
        <v>1.84594156332011E-3</v>
      </c>
      <c r="AQ89" s="13">
        <v>1.78896586269341E-3</v>
      </c>
      <c r="AR89" s="13">
        <v>1.7384050264734499E-3</v>
      </c>
      <c r="AS89" s="13">
        <v>1.57754573350493E-3</v>
      </c>
      <c r="AT89" s="13">
        <v>1.4095070428138401E-3</v>
      </c>
      <c r="AU89" s="13">
        <v>1.5399260716418099E-3</v>
      </c>
      <c r="AV89" s="13">
        <v>1.37086962564425E-3</v>
      </c>
      <c r="AW89" s="13">
        <v>1.35045728825642E-3</v>
      </c>
      <c r="AX89" s="13">
        <v>1.34496602293226E-3</v>
      </c>
      <c r="AY89" s="13">
        <v>1.47403138265762E-3</v>
      </c>
      <c r="AZ89" s="13">
        <v>1.4117096574566201E-3</v>
      </c>
      <c r="BA89" s="13">
        <v>1.53626147043052E-3</v>
      </c>
      <c r="BB89" s="13">
        <v>1.2793462465913901E-3</v>
      </c>
      <c r="BC89" s="13">
        <v>1.5322396936519401E-3</v>
      </c>
      <c r="BD89" s="13">
        <v>1.51662808495081E-3</v>
      </c>
      <c r="BE89" s="8">
        <v>6.8245880000000003</v>
      </c>
      <c r="BF89" s="8">
        <v>6.9247639999999997</v>
      </c>
      <c r="BG89" s="8">
        <v>7.0507239999999998</v>
      </c>
      <c r="BH89" s="8">
        <v>6.7374999999999998</v>
      </c>
      <c r="BI89" s="8">
        <v>6.7438890000000002</v>
      </c>
      <c r="BJ89" s="8">
        <v>6.7204550000000003</v>
      </c>
      <c r="BK89" s="8">
        <v>6.5565709999999999</v>
      </c>
      <c r="BL89" s="8">
        <v>6.2539499999999997</v>
      </c>
      <c r="BM89" s="8">
        <v>6.9645809999999999</v>
      </c>
      <c r="BN89" s="8">
        <v>6.909567</v>
      </c>
      <c r="BO89" s="8">
        <v>7.0333649999999999</v>
      </c>
      <c r="BP89" s="8">
        <v>6.9643459999999999</v>
      </c>
      <c r="BQ89" s="8">
        <v>7.2184270000000001</v>
      </c>
      <c r="BR89" s="8">
        <v>7.3374430000000004</v>
      </c>
      <c r="BS89" s="8">
        <v>7.0901810000000003</v>
      </c>
      <c r="BT89" s="8">
        <v>6.7972000000000001</v>
      </c>
      <c r="BU89" s="8">
        <v>7.5098969999999996</v>
      </c>
    </row>
    <row r="90" spans="1:73" x14ac:dyDescent="0.25">
      <c r="A90" s="9" t="s">
        <v>248</v>
      </c>
      <c r="B90" s="5" t="s">
        <v>249</v>
      </c>
      <c r="C90" s="3">
        <v>0.434049681627868</v>
      </c>
      <c r="D90" s="3">
        <v>5.3958583343179899E-3</v>
      </c>
      <c r="E90" s="10">
        <v>2.7613767008700129E-3</v>
      </c>
      <c r="F90" s="2">
        <v>5.4007315601682135E-2</v>
      </c>
      <c r="G90" s="2">
        <v>6.9179794106167396</v>
      </c>
      <c r="H90" s="5">
        <v>6.6564157087765503</v>
      </c>
      <c r="I90" s="2">
        <f t="shared" si="1"/>
        <v>0.26156370184018929</v>
      </c>
      <c r="J90">
        <v>1</v>
      </c>
      <c r="K90">
        <v>2</v>
      </c>
      <c r="L90" s="5">
        <v>3.5486903486467103E-2</v>
      </c>
      <c r="M90" s="5">
        <v>2.2860388803621699E-2</v>
      </c>
      <c r="N90" s="6">
        <v>43.743787937743797</v>
      </c>
      <c r="O90" s="3">
        <v>7.0543602849685998</v>
      </c>
      <c r="P90" s="3" t="s">
        <v>75</v>
      </c>
      <c r="Q90" s="3">
        <v>0.434049681627868</v>
      </c>
      <c r="R90" s="3">
        <v>0</v>
      </c>
      <c r="S90" s="3">
        <v>0</v>
      </c>
      <c r="T90" s="3">
        <v>0</v>
      </c>
      <c r="U90">
        <v>0</v>
      </c>
      <c r="V90" s="3">
        <f>G90+U90</f>
        <v>6.9179794106167396</v>
      </c>
      <c r="W90" s="7">
        <v>6.5751790000000003</v>
      </c>
      <c r="X90" s="7">
        <v>7.8697039999999996</v>
      </c>
      <c r="Y90" s="7">
        <v>7.3794120000000003</v>
      </c>
      <c r="Z90" s="7">
        <v>6.2959379999999996</v>
      </c>
      <c r="AA90" s="7">
        <v>5.8684209999999997</v>
      </c>
      <c r="AB90" s="7">
        <v>6.2772730000000001</v>
      </c>
      <c r="AC90" s="7">
        <v>6.6672269999999996</v>
      </c>
      <c r="AD90" s="7">
        <v>6.9939470000000004</v>
      </c>
      <c r="AE90" s="7">
        <v>6.6237139999999997</v>
      </c>
      <c r="AF90" s="7">
        <v>7.1745000000000001</v>
      </c>
      <c r="AG90" s="7">
        <v>6.8855259999999996</v>
      </c>
      <c r="AH90" s="7">
        <v>6.9005380000000001</v>
      </c>
      <c r="AI90" s="7">
        <v>7.4116280000000003</v>
      </c>
      <c r="AJ90" s="7">
        <v>6.3055680000000001</v>
      </c>
      <c r="AK90" s="7">
        <v>7.5590539999999997</v>
      </c>
      <c r="AL90" s="7">
        <v>7.4216670000000002</v>
      </c>
      <c r="AM90" s="7">
        <v>6.4098940000000004</v>
      </c>
      <c r="AN90" s="13">
        <v>6.9110789219873998E-3</v>
      </c>
      <c r="AO90" s="13">
        <v>2.7936856378604001E-3</v>
      </c>
      <c r="AP90" s="13">
        <v>3.02596975840096E-3</v>
      </c>
      <c r="AQ90" s="13">
        <v>2.9325720309290098E-3</v>
      </c>
      <c r="AR90" s="13">
        <v>2.8496899048632901E-3</v>
      </c>
      <c r="AS90" s="13">
        <v>2.58600043302268E-3</v>
      </c>
      <c r="AT90" s="13">
        <v>2.31054209437518E-3</v>
      </c>
      <c r="AU90" s="13">
        <v>2.5243321974831299E-3</v>
      </c>
      <c r="AV90" s="13">
        <v>2.2472054979080398E-3</v>
      </c>
      <c r="AW90" s="13">
        <v>2.2137444627045601E-3</v>
      </c>
      <c r="AX90" s="13">
        <v>2.2047428761232499E-3</v>
      </c>
      <c r="AY90" s="13">
        <v>2.4163139697843199E-3</v>
      </c>
      <c r="AZ90" s="13">
        <v>2.3141527424210798E-3</v>
      </c>
      <c r="BA90" s="13">
        <v>2.5183249799946099E-3</v>
      </c>
      <c r="BB90" s="13">
        <v>2.0971753004718399E-3</v>
      </c>
      <c r="BC90" s="13">
        <v>2.5117322605126701E-3</v>
      </c>
      <c r="BD90" s="13">
        <v>2.4861408459477198E-3</v>
      </c>
      <c r="BE90" s="8">
        <v>6.733581</v>
      </c>
      <c r="BF90" s="8">
        <v>6.9137079999999997</v>
      </c>
      <c r="BG90" s="8">
        <v>6.7014009999999997</v>
      </c>
      <c r="BH90" s="8">
        <v>6.8131620000000002</v>
      </c>
      <c r="BI90" s="8">
        <v>6.6618639999999996</v>
      </c>
      <c r="BJ90" s="8">
        <v>6.5955550000000001</v>
      </c>
      <c r="BK90" s="8">
        <v>6.3917250000000001</v>
      </c>
      <c r="BL90" s="8">
        <v>6.4698770000000003</v>
      </c>
      <c r="BM90" s="8">
        <v>6.3728400000000001</v>
      </c>
      <c r="BN90" s="8">
        <v>6.5088920000000003</v>
      </c>
      <c r="BO90" s="8">
        <v>6.4744039999999998</v>
      </c>
      <c r="BP90" s="8">
        <v>6.6210259999999996</v>
      </c>
      <c r="BQ90" s="8">
        <v>6.8412119999999996</v>
      </c>
      <c r="BR90" s="8">
        <v>6.9731719999999999</v>
      </c>
      <c r="BS90" s="8">
        <v>6.929265</v>
      </c>
      <c r="BT90" s="8">
        <v>6.8404689999999997</v>
      </c>
      <c r="BU90" s="8">
        <v>6.8741149999999998</v>
      </c>
    </row>
    <row r="91" spans="1:73" x14ac:dyDescent="0.25">
      <c r="A91" s="9" t="s">
        <v>310</v>
      </c>
      <c r="B91" s="5" t="s">
        <v>250</v>
      </c>
      <c r="C91" s="3">
        <v>0.27745849399863898</v>
      </c>
      <c r="D91" s="3">
        <v>2.7437075925883399E-2</v>
      </c>
      <c r="E91" s="10">
        <v>2.459015107855025E-3</v>
      </c>
      <c r="F91" s="2">
        <v>1.7918195444351693E-3</v>
      </c>
      <c r="G91" s="2">
        <v>5.4145000000000003</v>
      </c>
      <c r="H91" s="5">
        <v>4.8064733096085499</v>
      </c>
      <c r="I91" s="2">
        <f t="shared" si="1"/>
        <v>0.60802669039145041</v>
      </c>
      <c r="J91">
        <v>2</v>
      </c>
      <c r="K91">
        <v>3</v>
      </c>
      <c r="L91" s="5">
        <v>0.23272659378677199</v>
      </c>
      <c r="M91" s="5">
        <v>8.4451852318415802E-2</v>
      </c>
      <c r="N91" s="6">
        <v>11.8410665076903</v>
      </c>
      <c r="O91" s="3">
        <v>6.0129591000768903</v>
      </c>
      <c r="P91" s="3" t="s">
        <v>105</v>
      </c>
      <c r="Q91" s="3">
        <v>31.3564297855057</v>
      </c>
      <c r="R91" s="3">
        <v>8.4399562097998704E-3</v>
      </c>
      <c r="S91" s="3">
        <v>0</v>
      </c>
      <c r="T91" s="3">
        <v>3.6256038424183901E-2</v>
      </c>
      <c r="U91">
        <v>0</v>
      </c>
      <c r="V91" s="3">
        <f>G91+U91</f>
        <v>5.4145000000000003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4.375</v>
      </c>
      <c r="AC91" s="7">
        <v>0</v>
      </c>
      <c r="AD91" s="7">
        <v>4.5774999999999997</v>
      </c>
      <c r="AE91" s="7">
        <v>7.57</v>
      </c>
      <c r="AF91" s="7">
        <v>0</v>
      </c>
      <c r="AG91" s="7">
        <v>4.5999999999999996</v>
      </c>
      <c r="AH91" s="7">
        <v>0</v>
      </c>
      <c r="AI91" s="7">
        <v>6.4</v>
      </c>
      <c r="AJ91" s="7">
        <v>3.6549999999999998</v>
      </c>
      <c r="AK91" s="7">
        <v>7.75</v>
      </c>
      <c r="AL91" s="7">
        <v>4.5999999999999996</v>
      </c>
      <c r="AM91" s="7">
        <v>8.65</v>
      </c>
      <c r="AN91" s="13">
        <v>6.1543386946775799E-3</v>
      </c>
      <c r="AO91" s="13">
        <v>2.4877863233697599E-3</v>
      </c>
      <c r="AP91" s="13">
        <v>2.6946361028815798E-3</v>
      </c>
      <c r="AQ91" s="13">
        <v>2.6114651168946002E-3</v>
      </c>
      <c r="AR91" s="13">
        <v>2.5376583088257999E-3</v>
      </c>
      <c r="AS91" s="13">
        <v>2.30284195985246E-3</v>
      </c>
      <c r="AT91" s="13">
        <v>2.0575453959662399E-3</v>
      </c>
      <c r="AU91" s="13">
        <v>2.2479261916348399E-3</v>
      </c>
      <c r="AV91" s="13">
        <v>2.0011439468109299E-3</v>
      </c>
      <c r="AW91" s="13">
        <v>1.9713467840174899E-3</v>
      </c>
      <c r="AX91" s="13">
        <v>1.96333084132081E-3</v>
      </c>
      <c r="AY91" s="13">
        <v>2.1517356017195198E-3</v>
      </c>
      <c r="AZ91" s="13">
        <v>2.0607606900227299E-3</v>
      </c>
      <c r="BA91" s="13">
        <v>2.2425767445435401E-3</v>
      </c>
      <c r="BB91" s="13">
        <v>1.8675415585478999E-3</v>
      </c>
      <c r="BC91" s="13">
        <v>2.2367059059857902E-3</v>
      </c>
      <c r="BD91" s="13">
        <v>2.2139166664637902E-3</v>
      </c>
      <c r="BE91" s="8">
        <v>4.8202629999999997</v>
      </c>
      <c r="BF91" s="8">
        <v>5.2135850000000001</v>
      </c>
      <c r="BG91" s="8">
        <v>4.7091250000000002</v>
      </c>
      <c r="BH91" s="8">
        <v>5.0503330000000002</v>
      </c>
      <c r="BI91" s="8">
        <v>4.7121589999999998</v>
      </c>
      <c r="BJ91" s="8">
        <v>5.1539659999999996</v>
      </c>
      <c r="BK91" s="8">
        <v>4.4732269999999996</v>
      </c>
      <c r="BL91" s="8">
        <v>4.733816</v>
      </c>
      <c r="BM91" s="8">
        <v>4.8363500000000004</v>
      </c>
      <c r="BN91" s="8">
        <v>4.7467540000000001</v>
      </c>
      <c r="BO91" s="8">
        <v>4.9720610000000001</v>
      </c>
      <c r="BP91" s="8">
        <v>4.6427589999999999</v>
      </c>
      <c r="BQ91" s="8">
        <v>4.8555679999999999</v>
      </c>
      <c r="BR91" s="8">
        <v>4.4343180000000002</v>
      </c>
      <c r="BS91" s="8">
        <v>5.0236590000000003</v>
      </c>
      <c r="BT91" s="8">
        <v>4.9144740000000002</v>
      </c>
      <c r="BU91" s="8">
        <v>4.892131</v>
      </c>
    </row>
    <row r="92" spans="1:73" x14ac:dyDescent="0.25">
      <c r="A92" s="9" t="s">
        <v>251</v>
      </c>
      <c r="B92" s="5" t="s">
        <v>252</v>
      </c>
      <c r="C92" s="3">
        <v>0.26347720836025801</v>
      </c>
      <c r="D92" s="3">
        <v>1.14705981211105E-2</v>
      </c>
      <c r="E92" s="10">
        <v>1.676213242796623E-3</v>
      </c>
      <c r="F92" s="2">
        <v>3.0693567613195447E-2</v>
      </c>
      <c r="G92" s="2">
        <v>7.0301219512195097</v>
      </c>
      <c r="H92" s="5">
        <v>7.0050909403763901</v>
      </c>
      <c r="I92" s="2">
        <f t="shared" si="1"/>
        <v>2.5031010843119539E-2</v>
      </c>
      <c r="J92">
        <v>5</v>
      </c>
      <c r="K92">
        <v>3</v>
      </c>
      <c r="L92" s="5">
        <v>4.7333139772941797E-2</v>
      </c>
      <c r="M92" s="5">
        <v>6.8967379789227207E-2</v>
      </c>
      <c r="N92" s="6">
        <v>14.4996084098906</v>
      </c>
      <c r="O92" s="3">
        <v>6.7914529473837204</v>
      </c>
      <c r="P92" s="3" t="s">
        <v>78</v>
      </c>
      <c r="Q92" s="3">
        <v>16.491407232949701</v>
      </c>
      <c r="R92" s="3">
        <v>1.5959500559550199E-2</v>
      </c>
      <c r="S92" s="3">
        <v>0</v>
      </c>
      <c r="T92" s="3">
        <v>2.9194027646810899E-3</v>
      </c>
      <c r="U92">
        <v>0</v>
      </c>
      <c r="V92" s="3">
        <f>G92+U92</f>
        <v>7.0301219512195097</v>
      </c>
      <c r="W92" s="7">
        <v>7.93</v>
      </c>
      <c r="X92" s="7">
        <v>7.93</v>
      </c>
      <c r="Y92" s="7">
        <v>6.49</v>
      </c>
      <c r="Z92" s="7">
        <v>7</v>
      </c>
      <c r="AA92" s="7">
        <v>5.74</v>
      </c>
      <c r="AB92" s="7">
        <v>6.0640000000000001</v>
      </c>
      <c r="AC92" s="7">
        <v>7.4954549999999998</v>
      </c>
      <c r="AD92" s="7">
        <v>7.6664289999999999</v>
      </c>
      <c r="AE92" s="7">
        <v>7.859286</v>
      </c>
      <c r="AF92" s="7">
        <v>7</v>
      </c>
      <c r="AG92" s="7">
        <v>6.604444</v>
      </c>
      <c r="AH92" s="7">
        <v>6.85</v>
      </c>
      <c r="AI92" s="7">
        <v>6.4489999999999998</v>
      </c>
      <c r="AJ92" s="7">
        <v>7.3525</v>
      </c>
      <c r="AK92" s="7">
        <v>7.0666669999999998</v>
      </c>
      <c r="AL92" s="7">
        <v>7.2295449999999999</v>
      </c>
      <c r="AM92" s="7">
        <v>6.9424999999999999</v>
      </c>
      <c r="AN92" s="13">
        <v>4.1951690283321503E-3</v>
      </c>
      <c r="AO92" s="13">
        <v>1.6958254413159E-3</v>
      </c>
      <c r="AP92" s="13">
        <v>1.8368267465049999E-3</v>
      </c>
      <c r="AQ92" s="13">
        <v>1.7801323782262099E-3</v>
      </c>
      <c r="AR92" s="13">
        <v>1.7298211992918999E-3</v>
      </c>
      <c r="AS92" s="13">
        <v>1.5697561909408101E-3</v>
      </c>
      <c r="AT92" s="13">
        <v>1.4025472350116101E-3</v>
      </c>
      <c r="AU92" s="13">
        <v>1.53232228594743E-3</v>
      </c>
      <c r="AV92" s="13">
        <v>1.36410060014342E-3</v>
      </c>
      <c r="AW92" s="13">
        <v>1.3437890539831001E-3</v>
      </c>
      <c r="AX92" s="13">
        <v>1.3383249032104E-3</v>
      </c>
      <c r="AY92" s="13">
        <v>1.4667529691370399E-3</v>
      </c>
      <c r="AZ92" s="13">
        <v>1.4047389736714299E-3</v>
      </c>
      <c r="BA92" s="13">
        <v>1.5286757796582201E-3</v>
      </c>
      <c r="BB92" s="13">
        <v>1.27302914159062E-3</v>
      </c>
      <c r="BC92" s="13">
        <v>1.52467386144902E-3</v>
      </c>
      <c r="BD92" s="13">
        <v>1.50913933912827E-3</v>
      </c>
      <c r="BE92" s="8">
        <v>7.2128129999999997</v>
      </c>
      <c r="BF92" s="8">
        <v>7.1844440000000001</v>
      </c>
      <c r="BG92" s="8">
        <v>7.1105739999999997</v>
      </c>
      <c r="BH92" s="8">
        <v>7.1532650000000002</v>
      </c>
      <c r="BI92" s="8">
        <v>7.1702389999999996</v>
      </c>
      <c r="BJ92" s="8">
        <v>7.0515650000000001</v>
      </c>
      <c r="BK92" s="8">
        <v>6.8982190000000001</v>
      </c>
      <c r="BL92" s="8">
        <v>6.8894399999999996</v>
      </c>
      <c r="BM92" s="8">
        <v>6.9464969999999999</v>
      </c>
      <c r="BN92" s="8">
        <v>7.0058449999999999</v>
      </c>
      <c r="BO92" s="8">
        <v>6.9938890000000002</v>
      </c>
      <c r="BP92" s="8">
        <v>6.8952790000000004</v>
      </c>
      <c r="BQ92" s="8">
        <v>6.9455660000000004</v>
      </c>
      <c r="BR92" s="8">
        <v>7.1617280000000001</v>
      </c>
      <c r="BS92" s="8">
        <v>6.9667539999999999</v>
      </c>
      <c r="BT92" s="8">
        <v>6.8869680000000004</v>
      </c>
      <c r="BU92" s="8">
        <v>7.0168679999999997</v>
      </c>
    </row>
    <row r="93" spans="1:73" x14ac:dyDescent="0.25">
      <c r="A93" s="9" t="s">
        <v>253</v>
      </c>
      <c r="B93" s="5" t="s">
        <v>254</v>
      </c>
      <c r="C93" s="3">
        <v>0.47776010921453599</v>
      </c>
      <c r="D93" s="3">
        <v>2.8551232911247799E-2</v>
      </c>
      <c r="E93" s="10">
        <v>3.360403407286606E-3</v>
      </c>
      <c r="F93" s="2">
        <v>4.2469048982477324E-3</v>
      </c>
      <c r="G93" s="2">
        <v>8.4293902439024393</v>
      </c>
      <c r="H93" s="5">
        <v>7.8734292565947097</v>
      </c>
      <c r="I93" s="2">
        <f t="shared" si="1"/>
        <v>0.55596098730772958</v>
      </c>
      <c r="J93">
        <v>2</v>
      </c>
      <c r="K93">
        <v>3</v>
      </c>
      <c r="L93" s="5">
        <v>8.77703297998014E-2</v>
      </c>
      <c r="M93" s="5">
        <v>0.10281187432541899</v>
      </c>
      <c r="N93" s="6">
        <v>9.7265029604927893</v>
      </c>
      <c r="O93" s="3">
        <v>6.4846101977118797</v>
      </c>
      <c r="P93" s="3" t="s">
        <v>75</v>
      </c>
      <c r="Q93" s="3">
        <v>0.47776010921453599</v>
      </c>
      <c r="R93" s="3">
        <v>0</v>
      </c>
      <c r="S93" s="3">
        <v>0</v>
      </c>
      <c r="T93" s="3">
        <v>0</v>
      </c>
      <c r="U93">
        <v>0</v>
      </c>
      <c r="V93" s="3">
        <f>G93+U93</f>
        <v>8.4293902439024393</v>
      </c>
      <c r="W93" s="7">
        <v>7.6</v>
      </c>
      <c r="X93" s="7">
        <v>9.5500000000000007</v>
      </c>
      <c r="Y93" s="7">
        <v>9.1</v>
      </c>
      <c r="Z93" s="7">
        <v>9.5500000000000007</v>
      </c>
      <c r="AA93" s="7">
        <v>9.5500000000000007</v>
      </c>
      <c r="AB93" s="7">
        <v>9.5500000000000007</v>
      </c>
      <c r="AC93" s="7">
        <v>0</v>
      </c>
      <c r="AD93" s="7">
        <v>8.1999999999999993</v>
      </c>
      <c r="AE93" s="7">
        <v>9.25</v>
      </c>
      <c r="AF93" s="7">
        <v>9.5500000000000007</v>
      </c>
      <c r="AG93" s="7">
        <v>8.0649999999999995</v>
      </c>
      <c r="AH93" s="7">
        <v>7.3</v>
      </c>
      <c r="AI93" s="7">
        <v>9.1</v>
      </c>
      <c r="AJ93" s="7">
        <v>6.9850000000000003</v>
      </c>
      <c r="AK93" s="7">
        <v>9.5500000000000007</v>
      </c>
      <c r="AL93" s="7">
        <v>9.5500000000000007</v>
      </c>
      <c r="AM93" s="7">
        <v>4.375</v>
      </c>
      <c r="AN93" s="13">
        <v>8.4103024227574798E-3</v>
      </c>
      <c r="AO93" s="13">
        <v>3.39972113670545E-3</v>
      </c>
      <c r="AP93" s="13">
        <v>3.68239475739513E-3</v>
      </c>
      <c r="AQ93" s="13">
        <v>3.5687362183299399E-3</v>
      </c>
      <c r="AR93" s="13">
        <v>3.4678744348772602E-3</v>
      </c>
      <c r="AS93" s="13">
        <v>3.1469826857147502E-3</v>
      </c>
      <c r="AT93" s="13">
        <v>2.8117690441044102E-3</v>
      </c>
      <c r="AU93" s="13">
        <v>3.0719367317298598E-3</v>
      </c>
      <c r="AV93" s="13">
        <v>2.7346928108954401E-3</v>
      </c>
      <c r="AW93" s="13">
        <v>2.6939730580729801E-3</v>
      </c>
      <c r="AX93" s="13">
        <v>2.6830187532114599E-3</v>
      </c>
      <c r="AY93" s="13">
        <v>2.9404860606592302E-3</v>
      </c>
      <c r="AZ93" s="13">
        <v>2.8161629516767301E-3</v>
      </c>
      <c r="BA93" s="13">
        <v>3.0646263658133301E-3</v>
      </c>
      <c r="BB93" s="13">
        <v>2.5521164943422998E-3</v>
      </c>
      <c r="BC93" s="13">
        <v>3.0566034846890699E-3</v>
      </c>
      <c r="BD93" s="13">
        <v>3.0254605128974001E-3</v>
      </c>
      <c r="BE93" s="8">
        <v>8.75</v>
      </c>
      <c r="BF93" s="8">
        <v>8.4756250000000009</v>
      </c>
      <c r="BG93" s="8">
        <v>8.3518749999999997</v>
      </c>
      <c r="BH93" s="8">
        <v>8.4760000000000009</v>
      </c>
      <c r="BI93" s="8">
        <v>8.1237759999999994</v>
      </c>
      <c r="BJ93" s="8">
        <v>7.901154</v>
      </c>
      <c r="BK93" s="8">
        <v>8.4715050000000005</v>
      </c>
      <c r="BL93" s="8">
        <v>7.9727040000000002</v>
      </c>
      <c r="BM93" s="8">
        <v>7.2599450000000001</v>
      </c>
      <c r="BN93" s="8">
        <v>7.2288040000000002</v>
      </c>
      <c r="BO93" s="8">
        <v>7.7708740000000001</v>
      </c>
      <c r="BP93" s="8">
        <v>8.0492109999999997</v>
      </c>
      <c r="BQ93" s="8">
        <v>7.9227590000000001</v>
      </c>
      <c r="BR93" s="8">
        <v>7.1395970000000002</v>
      </c>
      <c r="BS93" s="8">
        <v>7.6216670000000004</v>
      </c>
      <c r="BT93" s="8">
        <v>7.8018749999999999</v>
      </c>
      <c r="BU93" s="8">
        <v>7.4963639999999998</v>
      </c>
    </row>
    <row r="94" spans="1:73" x14ac:dyDescent="0.25">
      <c r="A94" s="9" t="s">
        <v>255</v>
      </c>
      <c r="B94" s="5" t="s">
        <v>256</v>
      </c>
      <c r="C94" s="3">
        <v>0.43379140298066399</v>
      </c>
      <c r="D94" s="3">
        <v>8.2154508497484392E-3</v>
      </c>
      <c r="E94" s="10">
        <v>2.759733560305904E-3</v>
      </c>
      <c r="F94" s="2">
        <v>3.1919209326921986E-2</v>
      </c>
      <c r="G94" s="2">
        <v>6.8685551643192602</v>
      </c>
      <c r="H94" s="5">
        <v>6.7412837351174399</v>
      </c>
      <c r="I94" s="2">
        <f t="shared" si="1"/>
        <v>0.12727142920182022</v>
      </c>
      <c r="J94">
        <v>1</v>
      </c>
      <c r="K94">
        <v>2</v>
      </c>
      <c r="L94" s="5">
        <v>3.4581298014541899E-2</v>
      </c>
      <c r="M94" s="5">
        <v>3.2105399895143799E-2</v>
      </c>
      <c r="N94" s="6">
        <v>31.147408325889099</v>
      </c>
      <c r="O94" s="3">
        <v>6.2139903396279399</v>
      </c>
      <c r="P94" s="3" t="s">
        <v>75</v>
      </c>
      <c r="Q94" s="3">
        <v>0.43379140298066399</v>
      </c>
      <c r="R94" s="3">
        <v>0</v>
      </c>
      <c r="S94" s="3">
        <v>0</v>
      </c>
      <c r="T94" s="3">
        <v>0</v>
      </c>
      <c r="U94">
        <v>0</v>
      </c>
      <c r="V94" s="3">
        <f>G94+U94</f>
        <v>6.8685551643192602</v>
      </c>
      <c r="W94" s="7">
        <v>5.8109999999999999</v>
      </c>
      <c r="X94" s="7">
        <v>6.8210709999999999</v>
      </c>
      <c r="Y94" s="7">
        <v>6.8872</v>
      </c>
      <c r="Z94" s="7">
        <v>5.9827269999999997</v>
      </c>
      <c r="AA94" s="7">
        <v>6.0309999999999997</v>
      </c>
      <c r="AB94" s="7">
        <v>6.1334619999999997</v>
      </c>
      <c r="AC94" s="7">
        <v>6.6550000000000002</v>
      </c>
      <c r="AD94" s="7">
        <v>6.9607950000000001</v>
      </c>
      <c r="AE94" s="7">
        <v>7.9167649999999998</v>
      </c>
      <c r="AF94" s="7">
        <v>7.0002209999999998</v>
      </c>
      <c r="AG94" s="7">
        <v>6.41275</v>
      </c>
      <c r="AH94" s="7">
        <v>7.697241</v>
      </c>
      <c r="AI94" s="7">
        <v>7.2212500000000004</v>
      </c>
      <c r="AJ94" s="7">
        <v>6.192609</v>
      </c>
      <c r="AK94" s="7">
        <v>6.6658330000000001</v>
      </c>
      <c r="AL94" s="7">
        <v>7.0267999999999997</v>
      </c>
      <c r="AM94" s="7">
        <v>7.3120000000000003</v>
      </c>
      <c r="AN94" s="13">
        <v>6.9069665261252602E-3</v>
      </c>
      <c r="AO94" s="13">
        <v>2.7920232720580499E-3</v>
      </c>
      <c r="AP94" s="13">
        <v>3.0241691733325598E-3</v>
      </c>
      <c r="AQ94" s="13">
        <v>2.9308270216154798E-3</v>
      </c>
      <c r="AR94" s="13">
        <v>2.84799421405937E-3</v>
      </c>
      <c r="AS94" s="13">
        <v>2.5844616490498301E-3</v>
      </c>
      <c r="AT94" s="13">
        <v>2.3091672202266598E-3</v>
      </c>
      <c r="AU94" s="13">
        <v>2.5228301088221902E-3</v>
      </c>
      <c r="AV94" s="13">
        <v>2.24586831181955E-3</v>
      </c>
      <c r="AW94" s="13">
        <v>2.2124271874034099E-3</v>
      </c>
      <c r="AX94" s="13">
        <v>2.2034309571619401E-3</v>
      </c>
      <c r="AY94" s="13">
        <v>2.4148761567187801E-3</v>
      </c>
      <c r="AZ94" s="13">
        <v>2.3127757197782001E-3</v>
      </c>
      <c r="BA94" s="13">
        <v>2.51682646589223E-3</v>
      </c>
      <c r="BB94" s="13">
        <v>2.0959273889481502E-3</v>
      </c>
      <c r="BC94" s="13">
        <v>2.5102376693682902E-3</v>
      </c>
      <c r="BD94" s="13">
        <v>2.4846614828203401E-3</v>
      </c>
      <c r="BE94" s="8">
        <v>6.699389</v>
      </c>
      <c r="BF94" s="8">
        <v>6.8268170000000001</v>
      </c>
      <c r="BG94" s="8">
        <v>6.91622</v>
      </c>
      <c r="BH94" s="8">
        <v>6.929494</v>
      </c>
      <c r="BI94" s="8">
        <v>6.8393079999999999</v>
      </c>
      <c r="BJ94" s="8">
        <v>6.5960979999999996</v>
      </c>
      <c r="BK94" s="8">
        <v>6.7217570000000002</v>
      </c>
      <c r="BL94" s="8">
        <v>6.786683</v>
      </c>
      <c r="BM94" s="8">
        <v>6.7691499999999998</v>
      </c>
      <c r="BN94" s="8">
        <v>6.7834669999999999</v>
      </c>
      <c r="BO94" s="8">
        <v>6.6141750000000004</v>
      </c>
      <c r="BP94" s="8">
        <v>6.7011529999999997</v>
      </c>
      <c r="BQ94" s="8">
        <v>6.6733079999999996</v>
      </c>
      <c r="BR94" s="8">
        <v>6.8978859999999997</v>
      </c>
      <c r="BS94" s="8">
        <v>6.7840759999999998</v>
      </c>
      <c r="BT94" s="8">
        <v>6.6014629999999999</v>
      </c>
      <c r="BU94" s="8">
        <v>6.665985</v>
      </c>
    </row>
    <row r="95" spans="1:73" x14ac:dyDescent="0.25">
      <c r="A95" s="9" t="s">
        <v>311</v>
      </c>
      <c r="B95" s="5" t="s">
        <v>257</v>
      </c>
      <c r="C95" s="3">
        <v>0.18463049948096499</v>
      </c>
      <c r="D95" s="3">
        <v>5.8165452296621699E-2</v>
      </c>
      <c r="E95" s="10">
        <v>1.174599086502351E-3</v>
      </c>
      <c r="F95" s="2">
        <v>1.8543181154596609E-3</v>
      </c>
      <c r="G95" s="2">
        <v>9.5500000000000007</v>
      </c>
      <c r="H95" s="5">
        <v>8.27679710144929</v>
      </c>
      <c r="I95" s="2">
        <f t="shared" si="1"/>
        <v>1.2732028985507107</v>
      </c>
      <c r="J95">
        <v>6</v>
      </c>
      <c r="K95">
        <v>4</v>
      </c>
      <c r="L95" s="5">
        <v>0.26332321161943001</v>
      </c>
      <c r="M95" s="5">
        <v>0.24909319166322599</v>
      </c>
      <c r="N95" s="6">
        <v>4.0145617522617796</v>
      </c>
      <c r="O95" s="3">
        <v>9.5500000000000007</v>
      </c>
      <c r="P95" s="3" t="s">
        <v>105</v>
      </c>
      <c r="Q95" s="3">
        <v>11.379706514953</v>
      </c>
      <c r="R95" s="3">
        <v>1.6421527233653001E-2</v>
      </c>
      <c r="S95" s="3">
        <v>0</v>
      </c>
      <c r="T95" s="3">
        <v>3.4186677343489499E-2</v>
      </c>
      <c r="U95" s="14">
        <v>0</v>
      </c>
      <c r="V95" s="3">
        <f>G95+U95</f>
        <v>9.5500000000000007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9.5500000000000007</v>
      </c>
      <c r="AF95" s="7">
        <v>0</v>
      </c>
      <c r="AG95" s="7">
        <v>0</v>
      </c>
      <c r="AH95" s="7">
        <v>0</v>
      </c>
      <c r="AI95" s="7">
        <v>0</v>
      </c>
      <c r="AJ95" s="7">
        <v>9.5500000000000007</v>
      </c>
      <c r="AK95" s="7">
        <v>0</v>
      </c>
      <c r="AL95" s="7">
        <v>0</v>
      </c>
      <c r="AM95" s="7">
        <v>0</v>
      </c>
      <c r="AN95" s="13">
        <v>2.93974631782561E-3</v>
      </c>
      <c r="AO95" s="13">
        <v>1.18834224869489E-3</v>
      </c>
      <c r="AP95" s="13">
        <v>1.2871482955880899E-3</v>
      </c>
      <c r="AQ95" s="13">
        <v>1.24741996539128E-3</v>
      </c>
      <c r="AR95" s="13">
        <v>1.2121646271632501E-3</v>
      </c>
      <c r="AS95" s="13">
        <v>1.0999997737962E-3</v>
      </c>
      <c r="AT95" s="13">
        <v>9.8282883046099407E-4</v>
      </c>
      <c r="AU95" s="13">
        <v>1.0737681288677399E-3</v>
      </c>
      <c r="AV95" s="13">
        <v>9.5588751950945996E-4</v>
      </c>
      <c r="AW95" s="13">
        <v>9.4165429252125103E-4</v>
      </c>
      <c r="AX95" s="13">
        <v>9.3782531280539095E-4</v>
      </c>
      <c r="AY95" s="13">
        <v>1.0278207173680101E-3</v>
      </c>
      <c r="AZ95" s="13">
        <v>9.8436468172498999E-4</v>
      </c>
      <c r="BA95" s="13">
        <v>1.07121285556069E-3</v>
      </c>
      <c r="BB95" s="13">
        <v>8.9206959390705602E-4</v>
      </c>
      <c r="BC95" s="13">
        <v>1.0684085289077499E-3</v>
      </c>
      <c r="BD95" s="13">
        <v>1.0575227804472699E-3</v>
      </c>
      <c r="BE95" s="8">
        <v>8.0500000000000007</v>
      </c>
      <c r="BF95" s="8">
        <v>8.2529409999999999</v>
      </c>
      <c r="BG95" s="8">
        <v>8.65</v>
      </c>
      <c r="BH95" s="8">
        <v>7.4928569999999999</v>
      </c>
      <c r="BI95" s="8">
        <v>6.9850000000000003</v>
      </c>
      <c r="BJ95" s="8">
        <v>8.5857139999999994</v>
      </c>
      <c r="BK95" s="8">
        <v>7.4852939999999997</v>
      </c>
      <c r="BL95" s="8">
        <v>7.73</v>
      </c>
      <c r="BM95" s="8">
        <v>8.0941179999999999</v>
      </c>
      <c r="BN95" s="8">
        <v>8.2680000000000007</v>
      </c>
      <c r="BO95" s="8">
        <v>8.7706900000000001</v>
      </c>
      <c r="BP95" s="8">
        <v>8.1571429999999996</v>
      </c>
      <c r="BQ95" s="8">
        <v>8.9788460000000008</v>
      </c>
      <c r="BR95" s="8">
        <v>8.3170000000000002</v>
      </c>
      <c r="BS95" s="8">
        <v>9.4115380000000002</v>
      </c>
      <c r="BT95" s="8">
        <v>7.9107139999999996</v>
      </c>
      <c r="BU95" s="8">
        <v>8.385294</v>
      </c>
    </row>
    <row r="96" spans="1:73" x14ac:dyDescent="0.25">
      <c r="A96" s="9" t="s">
        <v>258</v>
      </c>
      <c r="B96" s="5" t="s">
        <v>259</v>
      </c>
      <c r="C96" s="3">
        <v>0.46830480733353402</v>
      </c>
      <c r="D96" s="3">
        <v>1.57082799469246E-2</v>
      </c>
      <c r="E96" s="10">
        <v>2.9793040718894838E-3</v>
      </c>
      <c r="F96" s="2">
        <v>1.757187025660023E-2</v>
      </c>
      <c r="G96" s="2">
        <v>8.6785281385281206</v>
      </c>
      <c r="H96" s="5">
        <v>8.6033745733796696</v>
      </c>
      <c r="I96" s="2">
        <f t="shared" si="1"/>
        <v>7.5153565148450951E-2</v>
      </c>
      <c r="J96">
        <v>1</v>
      </c>
      <c r="K96">
        <v>2</v>
      </c>
      <c r="L96" s="5">
        <v>4.0013368713002297E-2</v>
      </c>
      <c r="M96" s="5">
        <v>8.2959339534751195E-2</v>
      </c>
      <c r="N96" s="6">
        <v>12.0540978943197</v>
      </c>
      <c r="O96" s="3">
        <v>7.0353069368879</v>
      </c>
      <c r="P96" s="3" t="s">
        <v>75</v>
      </c>
      <c r="Q96" s="3">
        <v>0.46830480733353402</v>
      </c>
      <c r="R96" s="3">
        <v>0</v>
      </c>
      <c r="S96" s="3">
        <v>0</v>
      </c>
      <c r="T96" s="3">
        <v>0</v>
      </c>
      <c r="U96">
        <v>0</v>
      </c>
      <c r="V96" s="3">
        <f>G96+U96</f>
        <v>8.6785281385281206</v>
      </c>
      <c r="W96" s="7">
        <v>9.5500000000000007</v>
      </c>
      <c r="X96" s="7">
        <v>8.65</v>
      </c>
      <c r="Y96" s="7">
        <v>8.1549999999999994</v>
      </c>
      <c r="Z96" s="7">
        <v>9.5500000000000007</v>
      </c>
      <c r="AA96" s="7">
        <v>8.4250000000000007</v>
      </c>
      <c r="AB96" s="7">
        <v>7.0750000000000002</v>
      </c>
      <c r="AC96" s="7">
        <v>9.0930769999999992</v>
      </c>
      <c r="AD96" s="7">
        <v>8.8187499999999996</v>
      </c>
      <c r="AE96" s="7">
        <v>9.2928569999999997</v>
      </c>
      <c r="AF96" s="7">
        <v>8.4073910000000005</v>
      </c>
      <c r="AG96" s="7">
        <v>7.9675000000000002</v>
      </c>
      <c r="AH96" s="7">
        <v>8.5867190000000004</v>
      </c>
      <c r="AI96" s="7">
        <v>8.3842110000000005</v>
      </c>
      <c r="AJ96" s="7">
        <v>9.0437499999999993</v>
      </c>
      <c r="AK96" s="7">
        <v>8.4</v>
      </c>
      <c r="AL96" s="7">
        <v>9.2750000000000004</v>
      </c>
      <c r="AM96" s="7">
        <v>9.0571429999999999</v>
      </c>
      <c r="AN96" s="13">
        <v>7.4565000736550703E-3</v>
      </c>
      <c r="AO96" s="13">
        <v>3.0141628245919099E-3</v>
      </c>
      <c r="AP96" s="13">
        <v>3.2647787676987399E-3</v>
      </c>
      <c r="AQ96" s="13">
        <v>3.1640101077492601E-3</v>
      </c>
      <c r="AR96" s="13">
        <v>3.0745869386478901E-3</v>
      </c>
      <c r="AS96" s="13">
        <v>2.7900871393551799E-3</v>
      </c>
      <c r="AT96" s="13">
        <v>2.4928896763252799E-3</v>
      </c>
      <c r="AU96" s="13">
        <v>2.7235520573465101E-3</v>
      </c>
      <c r="AV96" s="13">
        <v>2.4245545666335502E-3</v>
      </c>
      <c r="AW96" s="13">
        <v>2.3884527923265699E-3</v>
      </c>
      <c r="AX96" s="13">
        <v>2.3787408020911399E-3</v>
      </c>
      <c r="AY96" s="13">
        <v>2.6070090498242198E-3</v>
      </c>
      <c r="AZ96" s="13">
        <v>2.4967852760896798E-3</v>
      </c>
      <c r="BA96" s="13">
        <v>2.7170707512941101E-3</v>
      </c>
      <c r="BB96" s="13">
        <v>2.2626840119977999E-3</v>
      </c>
      <c r="BC96" s="13">
        <v>2.70995773553238E-3</v>
      </c>
      <c r="BD96" s="13">
        <v>2.6823466509618699E-3</v>
      </c>
      <c r="BE96" s="8">
        <v>8.9263429999999993</v>
      </c>
      <c r="BF96" s="8">
        <v>8.8151460000000004</v>
      </c>
      <c r="BG96" s="8">
        <v>8.6202240000000003</v>
      </c>
      <c r="BH96" s="8">
        <v>8.9014000000000006</v>
      </c>
      <c r="BI96" s="8">
        <v>8.7902199999999997</v>
      </c>
      <c r="BJ96" s="8">
        <v>8.5189470000000007</v>
      </c>
      <c r="BK96" s="8">
        <v>8.6901969999999995</v>
      </c>
      <c r="BL96" s="8">
        <v>8.4544049999999995</v>
      </c>
      <c r="BM96" s="8">
        <v>8.6367740000000008</v>
      </c>
      <c r="BN96" s="8">
        <v>8.3951239999999991</v>
      </c>
      <c r="BO96" s="8">
        <v>8.4385309999999993</v>
      </c>
      <c r="BP96" s="8">
        <v>8.4947440000000007</v>
      </c>
      <c r="BQ96" s="8">
        <v>8.5840180000000004</v>
      </c>
      <c r="BR96" s="8">
        <v>8.6432520000000004</v>
      </c>
      <c r="BS96" s="8">
        <v>8.5981989999999993</v>
      </c>
      <c r="BT96" s="8">
        <v>8.7347479999999997</v>
      </c>
      <c r="BU96" s="8">
        <v>8.6664879999999993</v>
      </c>
    </row>
    <row r="97" spans="1:73" x14ac:dyDescent="0.25">
      <c r="A97" s="9" t="s">
        <v>260</v>
      </c>
      <c r="B97" s="5" t="s">
        <v>261</v>
      </c>
      <c r="C97" s="3">
        <v>0.44676598693384201</v>
      </c>
      <c r="D97" s="3">
        <v>1.6534912701741199E-2</v>
      </c>
      <c r="E97" s="10">
        <v>2.8422764473261608E-3</v>
      </c>
      <c r="F97" s="2">
        <v>1.1792729687443883E-2</v>
      </c>
      <c r="G97" s="2">
        <v>8.2490476190476105</v>
      </c>
      <c r="H97" s="5">
        <v>7.9875279069765401</v>
      </c>
      <c r="I97" s="2">
        <f t="shared" si="1"/>
        <v>0.26151971207107039</v>
      </c>
      <c r="J97">
        <v>1</v>
      </c>
      <c r="K97">
        <v>2</v>
      </c>
      <c r="L97" s="5">
        <v>4.08233691292035E-2</v>
      </c>
      <c r="M97" s="5">
        <v>8.7112463397105599E-2</v>
      </c>
      <c r="N97" s="6">
        <v>11.479413633861601</v>
      </c>
      <c r="O97" s="3">
        <v>7.2413318625194103</v>
      </c>
      <c r="P97" s="3" t="s">
        <v>75</v>
      </c>
      <c r="Q97" s="3">
        <v>0.44676598693384201</v>
      </c>
      <c r="R97" s="3">
        <v>0</v>
      </c>
      <c r="S97" s="3">
        <v>0</v>
      </c>
      <c r="T97" s="3">
        <v>0</v>
      </c>
      <c r="U97">
        <v>0</v>
      </c>
      <c r="V97" s="3">
        <f>G97+U97</f>
        <v>8.2490476190476105</v>
      </c>
      <c r="W97" s="7">
        <v>9.5500000000000007</v>
      </c>
      <c r="X97" s="7">
        <v>7.5250000000000004</v>
      </c>
      <c r="Y97" s="7">
        <v>8.875</v>
      </c>
      <c r="Z97" s="7">
        <v>9.5500000000000007</v>
      </c>
      <c r="AA97" s="7">
        <v>7.5250000000000004</v>
      </c>
      <c r="AB97" s="7">
        <v>9.5500000000000007</v>
      </c>
      <c r="AC97" s="7">
        <v>8.875</v>
      </c>
      <c r="AD97" s="7">
        <v>8.35</v>
      </c>
      <c r="AE97" s="7">
        <v>7.4574999999999996</v>
      </c>
      <c r="AF97" s="7">
        <v>8.85</v>
      </c>
      <c r="AG97" s="7">
        <v>9.5500000000000007</v>
      </c>
      <c r="AH97" s="7">
        <v>8.7078570000000006</v>
      </c>
      <c r="AI97" s="7">
        <v>8.1549999999999994</v>
      </c>
      <c r="AJ97" s="7">
        <v>7.1714289999999998</v>
      </c>
      <c r="AK97" s="7">
        <v>5.1624999999999996</v>
      </c>
      <c r="AL97" s="7">
        <v>8.1357140000000001</v>
      </c>
      <c r="AM97" s="7">
        <v>7.4759089999999997</v>
      </c>
      <c r="AN97" s="13">
        <v>7.11355203344339E-3</v>
      </c>
      <c r="AO97" s="13">
        <v>2.8755319356544898E-3</v>
      </c>
      <c r="AP97" s="13">
        <v>3.1146212582711099E-3</v>
      </c>
      <c r="AQ97" s="13">
        <v>3.0184872679525601E-3</v>
      </c>
      <c r="AR97" s="13">
        <v>2.9331769534465001E-3</v>
      </c>
      <c r="AS97" s="13">
        <v>2.66176220044149E-3</v>
      </c>
      <c r="AT97" s="13">
        <v>2.3782337894460901E-3</v>
      </c>
      <c r="AU97" s="13">
        <v>2.59828727745579E-3</v>
      </c>
      <c r="AV97" s="13">
        <v>2.3130416277480398E-3</v>
      </c>
      <c r="AW97" s="13">
        <v>2.27860028831324E-3</v>
      </c>
      <c r="AX97" s="13">
        <v>2.2693349832498102E-3</v>
      </c>
      <c r="AY97" s="13">
        <v>2.4871044517393599E-3</v>
      </c>
      <c r="AZ97" s="13">
        <v>2.3819502182467001E-3</v>
      </c>
      <c r="BA97" s="13">
        <v>2.5921040671838202E-3</v>
      </c>
      <c r="BB97" s="13">
        <v>2.1586160122837499E-3</v>
      </c>
      <c r="BC97" s="13">
        <v>2.5853182015315801E-3</v>
      </c>
      <c r="BD97" s="13">
        <v>2.5589770381369498E-3</v>
      </c>
      <c r="BE97" s="8">
        <v>7.9462710000000003</v>
      </c>
      <c r="BF97" s="8">
        <v>8.07</v>
      </c>
      <c r="BG97" s="8">
        <v>8.3265379999999993</v>
      </c>
      <c r="BH97" s="8">
        <v>7.9289389999999997</v>
      </c>
      <c r="BI97" s="8">
        <v>8.2646180000000005</v>
      </c>
      <c r="BJ97" s="8">
        <v>7.99838</v>
      </c>
      <c r="BK97" s="8">
        <v>8.1534639999999996</v>
      </c>
      <c r="BL97" s="8">
        <v>7.8660379999999996</v>
      </c>
      <c r="BM97" s="8">
        <v>7.8492559999999996</v>
      </c>
      <c r="BN97" s="8">
        <v>7.8390880000000003</v>
      </c>
      <c r="BO97" s="8">
        <v>7.7233470000000004</v>
      </c>
      <c r="BP97" s="8">
        <v>7.9857339999999999</v>
      </c>
      <c r="BQ97" s="8">
        <v>7.7581160000000002</v>
      </c>
      <c r="BR97" s="8">
        <v>7.9715040000000004</v>
      </c>
      <c r="BS97" s="8">
        <v>7.9994290000000001</v>
      </c>
      <c r="BT97" s="8">
        <v>8.2783329999999999</v>
      </c>
      <c r="BU97" s="8">
        <v>7.947139</v>
      </c>
    </row>
    <row r="98" spans="1:73" x14ac:dyDescent="0.25">
      <c r="A98" s="9" t="s">
        <v>262</v>
      </c>
      <c r="B98" s="5" t="s">
        <v>263</v>
      </c>
      <c r="C98" s="3">
        <v>0.30047564958644402</v>
      </c>
      <c r="D98" s="3">
        <v>1.6647891465518899E-2</v>
      </c>
      <c r="E98" s="10">
        <v>1.9115932877429311E-3</v>
      </c>
      <c r="F98" s="2">
        <v>3.3185793114494933E-2</v>
      </c>
      <c r="G98" s="2">
        <v>8.6195924657535095</v>
      </c>
      <c r="H98" s="5">
        <v>8.6851042568000505</v>
      </c>
      <c r="I98" s="2">
        <f t="shared" si="1"/>
        <v>-6.5511791046541035E-2</v>
      </c>
      <c r="J98">
        <v>8</v>
      </c>
      <c r="K98">
        <v>2</v>
      </c>
      <c r="L98" s="5">
        <v>4.5727732143300802E-2</v>
      </c>
      <c r="M98" s="5">
        <v>6.5307262714952699E-2</v>
      </c>
      <c r="N98" s="6">
        <v>15.3122326434766</v>
      </c>
      <c r="O98" s="3">
        <v>7.3839696152008898</v>
      </c>
      <c r="P98" s="3" t="s">
        <v>75</v>
      </c>
      <c r="Q98" s="3">
        <v>0.30047564958644402</v>
      </c>
      <c r="R98" s="3">
        <v>0</v>
      </c>
      <c r="S98" s="3">
        <v>0</v>
      </c>
      <c r="T98" s="3">
        <v>0</v>
      </c>
      <c r="U98">
        <v>0</v>
      </c>
      <c r="V98" s="3">
        <f>G98+U98</f>
        <v>8.6195924657535095</v>
      </c>
      <c r="W98" s="7">
        <v>8.6106250000000006</v>
      </c>
      <c r="X98" s="7">
        <v>8.1286210000000008</v>
      </c>
      <c r="Y98" s="7">
        <v>8.7505559999999996</v>
      </c>
      <c r="Z98" s="7">
        <v>9.1348389999999995</v>
      </c>
      <c r="AA98" s="7">
        <v>8.6339290000000002</v>
      </c>
      <c r="AB98" s="7">
        <v>8.037763</v>
      </c>
      <c r="AC98" s="7">
        <v>7.9119999999999999</v>
      </c>
      <c r="AD98" s="7">
        <v>8.5939999999999994</v>
      </c>
      <c r="AE98" s="7">
        <v>8.6808160000000001</v>
      </c>
      <c r="AF98" s="7">
        <v>8.7209090000000007</v>
      </c>
      <c r="AG98" s="7">
        <v>8.8687000000000005</v>
      </c>
      <c r="AH98" s="7">
        <v>8.7468920000000008</v>
      </c>
      <c r="AI98" s="7">
        <v>9.015625</v>
      </c>
      <c r="AJ98" s="7">
        <v>9.1257140000000003</v>
      </c>
      <c r="AK98" s="7">
        <v>9.1710530000000006</v>
      </c>
      <c r="AL98" s="7">
        <v>8.5883330000000004</v>
      </c>
      <c r="AM98" s="7">
        <v>8.8428570000000004</v>
      </c>
      <c r="AN98" s="13">
        <v>4.7842701338685102E-3</v>
      </c>
      <c r="AO98" s="13">
        <v>1.9339595035024299E-3</v>
      </c>
      <c r="AP98" s="13">
        <v>2.0947607319384901E-3</v>
      </c>
      <c r="AQ98" s="13">
        <v>2.0301051313934598E-3</v>
      </c>
      <c r="AR98" s="13">
        <v>1.9727290711800201E-3</v>
      </c>
      <c r="AS98" s="13">
        <v>1.79018714408251E-3</v>
      </c>
      <c r="AT98" s="13">
        <v>1.5994980899431399E-3</v>
      </c>
      <c r="AU98" s="13">
        <v>1.7474966321044799E-3</v>
      </c>
      <c r="AV98" s="13">
        <v>1.5556526368266199E-3</v>
      </c>
      <c r="AW98" s="13">
        <v>1.53248886845132E-3</v>
      </c>
      <c r="AX98" s="13">
        <v>1.5262574214769001E-3</v>
      </c>
      <c r="AY98" s="13">
        <v>1.67271983002677E-3</v>
      </c>
      <c r="AZ98" s="13">
        <v>1.60199760062807E-3</v>
      </c>
      <c r="BA98" s="13">
        <v>1.7433380699548599E-3</v>
      </c>
      <c r="BB98" s="13">
        <v>1.45179258821846E-3</v>
      </c>
      <c r="BC98" s="13">
        <v>1.7387741876327999E-3</v>
      </c>
      <c r="BD98" s="13">
        <v>1.72105825040091E-3</v>
      </c>
      <c r="BE98" s="8">
        <v>8.5505809999999993</v>
      </c>
      <c r="BF98" s="8">
        <v>8.5821360000000002</v>
      </c>
      <c r="BG98" s="8">
        <v>8.5881519999999991</v>
      </c>
      <c r="BH98" s="8">
        <v>8.7686759999999992</v>
      </c>
      <c r="BI98" s="8">
        <v>8.5746289999999998</v>
      </c>
      <c r="BJ98" s="8">
        <v>8.3793889999999998</v>
      </c>
      <c r="BK98" s="8">
        <v>8.4778000000000002</v>
      </c>
      <c r="BL98" s="8">
        <v>8.7401219999999995</v>
      </c>
      <c r="BM98" s="8">
        <v>8.4523869999999999</v>
      </c>
      <c r="BN98" s="8">
        <v>8.6185749999999999</v>
      </c>
      <c r="BO98" s="8">
        <v>8.8114369999999997</v>
      </c>
      <c r="BP98" s="8">
        <v>8.6870980000000007</v>
      </c>
      <c r="BQ98" s="8">
        <v>8.8802620000000001</v>
      </c>
      <c r="BR98" s="8">
        <v>8.8278239999999997</v>
      </c>
      <c r="BS98" s="8">
        <v>8.8941280000000003</v>
      </c>
      <c r="BT98" s="8">
        <v>8.8379890000000003</v>
      </c>
      <c r="BU98" s="8">
        <v>8.7715789999999991</v>
      </c>
    </row>
    <row r="99" spans="1:73" x14ac:dyDescent="0.25">
      <c r="A99" s="9" t="s">
        <v>264</v>
      </c>
      <c r="B99" s="5" t="s">
        <v>265</v>
      </c>
      <c r="C99" s="3">
        <v>0.34467994900580401</v>
      </c>
      <c r="D99" s="3">
        <v>2.3592476748335901E-2</v>
      </c>
      <c r="E99" s="10">
        <v>2.705636741958005E-3</v>
      </c>
      <c r="F99" s="2">
        <v>3.9739544048180298E-3</v>
      </c>
      <c r="G99" s="2">
        <v>7.66734693877551</v>
      </c>
      <c r="H99" s="5">
        <v>7.5641869599371603</v>
      </c>
      <c r="I99" s="2">
        <f t="shared" si="1"/>
        <v>0.10315997883834971</v>
      </c>
      <c r="J99">
        <v>2</v>
      </c>
      <c r="K99">
        <v>3</v>
      </c>
      <c r="L99" s="5">
        <v>0.14457746759944101</v>
      </c>
      <c r="M99" s="5">
        <v>6.3247767669089905E-2</v>
      </c>
      <c r="N99" s="6">
        <v>15.8108347037948</v>
      </c>
      <c r="O99" s="3">
        <v>6.7753201656873996</v>
      </c>
      <c r="P99" s="3" t="s">
        <v>75</v>
      </c>
      <c r="Q99" s="3">
        <v>0.34467994900580401</v>
      </c>
      <c r="R99" s="3">
        <v>0</v>
      </c>
      <c r="S99" s="3">
        <v>0</v>
      </c>
      <c r="T99" s="3">
        <v>0</v>
      </c>
      <c r="U99">
        <v>0</v>
      </c>
      <c r="V99" s="3">
        <f>G99+U99</f>
        <v>7.66734693877551</v>
      </c>
      <c r="W99" s="7">
        <v>6.4</v>
      </c>
      <c r="X99" s="7">
        <v>0</v>
      </c>
      <c r="Y99" s="7">
        <v>7.75</v>
      </c>
      <c r="Z99" s="7">
        <v>8.35</v>
      </c>
      <c r="AA99" s="7">
        <v>6.1749999999999998</v>
      </c>
      <c r="AB99" s="7">
        <v>9.5500000000000007</v>
      </c>
      <c r="AC99" s="7">
        <v>7</v>
      </c>
      <c r="AD99" s="7">
        <v>8.1999999999999993</v>
      </c>
      <c r="AE99" s="7">
        <v>5.83</v>
      </c>
      <c r="AF99" s="7">
        <v>8.5374999999999996</v>
      </c>
      <c r="AG99" s="7">
        <v>6.97</v>
      </c>
      <c r="AH99" s="7">
        <v>7.5571429999999999</v>
      </c>
      <c r="AI99" s="7">
        <v>5.95</v>
      </c>
      <c r="AJ99" s="7">
        <v>8.5374999999999996</v>
      </c>
      <c r="AK99" s="7">
        <v>9.5500000000000007</v>
      </c>
      <c r="AL99" s="7">
        <v>5.5</v>
      </c>
      <c r="AM99" s="7">
        <v>8.1999999999999993</v>
      </c>
      <c r="AN99" s="13">
        <v>6.7715748640919896E-3</v>
      </c>
      <c r="AO99" s="13">
        <v>2.7372935046833702E-3</v>
      </c>
      <c r="AP99" s="13">
        <v>2.96488883816682E-3</v>
      </c>
      <c r="AQ99" s="13">
        <v>2.8733763969327601E-3</v>
      </c>
      <c r="AR99" s="13">
        <v>2.7921672937110298E-3</v>
      </c>
      <c r="AS99" s="13">
        <v>2.5338005438015898E-3</v>
      </c>
      <c r="AT99" s="13">
        <v>2.2639024883538898E-3</v>
      </c>
      <c r="AU99" s="13">
        <v>2.47337711666289E-3</v>
      </c>
      <c r="AV99" s="13">
        <v>2.20184437710161E-3</v>
      </c>
      <c r="AW99" s="13">
        <v>2.1690587719206999E-3</v>
      </c>
      <c r="AX99" s="13">
        <v>2.1602388874831201E-3</v>
      </c>
      <c r="AY99" s="13">
        <v>2.3675392983127101E-3</v>
      </c>
      <c r="AZ99" s="13">
        <v>2.2674402534158598E-3</v>
      </c>
      <c r="BA99" s="13">
        <v>2.4674911582752601E-3</v>
      </c>
      <c r="BB99" s="13">
        <v>2.0548426245125101E-3</v>
      </c>
      <c r="BC99" s="13">
        <v>2.4610315165849001E-3</v>
      </c>
      <c r="BD99" s="13">
        <v>2.4359566792750099E-3</v>
      </c>
      <c r="BE99" s="8">
        <v>7.39</v>
      </c>
      <c r="BF99" s="8">
        <v>8.0090909999999997</v>
      </c>
      <c r="BG99" s="8">
        <v>7.823868</v>
      </c>
      <c r="BH99" s="8">
        <v>7.9932429999999997</v>
      </c>
      <c r="BI99" s="8">
        <v>7.8443589999999999</v>
      </c>
      <c r="BJ99" s="8">
        <v>7.7601610000000001</v>
      </c>
      <c r="BK99" s="8">
        <v>7.4877479999999998</v>
      </c>
      <c r="BL99" s="8">
        <v>7.6892500000000004</v>
      </c>
      <c r="BM99" s="8">
        <v>7.4681179999999996</v>
      </c>
      <c r="BN99" s="8">
        <v>7.3603699999999996</v>
      </c>
      <c r="BO99" s="8">
        <v>7.4721310000000001</v>
      </c>
      <c r="BP99" s="8">
        <v>7.6688980000000004</v>
      </c>
      <c r="BQ99" s="8">
        <v>7.3293660000000003</v>
      </c>
      <c r="BR99" s="8">
        <v>7.6063460000000003</v>
      </c>
      <c r="BS99" s="8">
        <v>7.7806119999999996</v>
      </c>
      <c r="BT99" s="8">
        <v>7.2854409999999996</v>
      </c>
      <c r="BU99" s="8">
        <v>6.7920749999999996</v>
      </c>
    </row>
    <row r="100" spans="1:73" x14ac:dyDescent="0.25">
      <c r="A100" s="9" t="s">
        <v>266</v>
      </c>
      <c r="B100" s="5" t="s">
        <v>267</v>
      </c>
      <c r="C100" s="3">
        <v>0.42765028813043299</v>
      </c>
      <c r="D100" s="3">
        <v>4.6708867127981703E-2</v>
      </c>
      <c r="E100" s="10">
        <v>2.7206644578907251E-3</v>
      </c>
      <c r="F100" s="2">
        <v>1.1032190049538521E-3</v>
      </c>
      <c r="G100" s="2">
        <v>4.6572727272727299</v>
      </c>
      <c r="H100" s="5">
        <v>6.1167356687897998</v>
      </c>
      <c r="I100" s="2">
        <f t="shared" si="1"/>
        <v>-1.4594629415170699</v>
      </c>
      <c r="J100">
        <v>3</v>
      </c>
      <c r="K100">
        <v>2</v>
      </c>
      <c r="L100" s="5">
        <v>0.27574110629996101</v>
      </c>
      <c r="M100" s="5">
        <v>0.16446692671018001</v>
      </c>
      <c r="N100" s="6">
        <v>6.08024981072443</v>
      </c>
      <c r="O100" s="3">
        <v>5.5</v>
      </c>
      <c r="P100" s="3" t="s">
        <v>75</v>
      </c>
      <c r="Q100" s="3">
        <v>0.42765028813043299</v>
      </c>
      <c r="R100" s="3">
        <v>0</v>
      </c>
      <c r="S100" s="3">
        <v>0</v>
      </c>
      <c r="T100" s="3">
        <v>0</v>
      </c>
      <c r="U100">
        <v>5.3427272727272701</v>
      </c>
      <c r="V100" s="3">
        <f>G100+U100</f>
        <v>10</v>
      </c>
      <c r="W100" s="7">
        <v>0</v>
      </c>
      <c r="X100" s="7">
        <v>0</v>
      </c>
      <c r="Y100" s="7">
        <v>3.1</v>
      </c>
      <c r="Z100" s="7">
        <v>0</v>
      </c>
      <c r="AA100" s="7">
        <v>0</v>
      </c>
      <c r="AB100" s="7">
        <v>4.42</v>
      </c>
      <c r="AC100" s="7">
        <v>0</v>
      </c>
      <c r="AD100" s="7">
        <v>9.5500000000000007</v>
      </c>
      <c r="AE100" s="7">
        <v>0</v>
      </c>
      <c r="AF100" s="7">
        <v>3.7</v>
      </c>
      <c r="AG100" s="7">
        <v>3.7</v>
      </c>
      <c r="AH100" s="7">
        <v>3.7</v>
      </c>
      <c r="AI100" s="7">
        <v>0</v>
      </c>
      <c r="AJ100" s="7">
        <v>0</v>
      </c>
      <c r="AK100" s="7">
        <v>0</v>
      </c>
      <c r="AL100" s="7">
        <v>3.61</v>
      </c>
      <c r="AM100" s="7">
        <v>0</v>
      </c>
      <c r="AN100" s="13">
        <v>6.80918571624248E-3</v>
      </c>
      <c r="AO100" s="13">
        <v>2.7524970494072201E-3</v>
      </c>
      <c r="AP100" s="13">
        <v>2.9813564986406402E-3</v>
      </c>
      <c r="AQ100" s="13">
        <v>2.8893357766940002E-3</v>
      </c>
      <c r="AR100" s="13">
        <v>2.8076756198199401E-3</v>
      </c>
      <c r="AS100" s="13">
        <v>2.54787384278217E-3</v>
      </c>
      <c r="AT100" s="13">
        <v>2.2764767127376601E-3</v>
      </c>
      <c r="AU100" s="13">
        <v>2.4871148103182499E-3</v>
      </c>
      <c r="AV100" s="13">
        <v>2.21407391675637E-3</v>
      </c>
      <c r="AW100" s="13">
        <v>2.18110621293904E-3</v>
      </c>
      <c r="AX100" s="13">
        <v>2.1722373408765401E-3</v>
      </c>
      <c r="AY100" s="13">
        <v>2.3806891448840801E-3</v>
      </c>
      <c r="AZ100" s="13">
        <v>2.2800341273437E-3</v>
      </c>
      <c r="BA100" s="13">
        <v>2.4811961599918802E-3</v>
      </c>
      <c r="BB100" s="13">
        <v>2.0662556833199799E-3</v>
      </c>
      <c r="BC100" s="13">
        <v>2.4747006399964701E-3</v>
      </c>
      <c r="BD100" s="13">
        <v>2.4494865313918401E-3</v>
      </c>
      <c r="BE100" s="8">
        <v>6.99</v>
      </c>
      <c r="BF100" s="8">
        <v>5.6012500000000003</v>
      </c>
      <c r="BG100" s="8">
        <v>5.4504999999999999</v>
      </c>
      <c r="BH100" s="8">
        <v>7.9</v>
      </c>
      <c r="BI100" s="8">
        <v>6.625</v>
      </c>
      <c r="BJ100" s="8">
        <v>4.7231579999999997</v>
      </c>
      <c r="BK100" s="8">
        <v>5.0976470000000003</v>
      </c>
      <c r="BL100" s="8">
        <v>5.8867570000000002</v>
      </c>
      <c r="BM100" s="8">
        <v>6.6687500000000002</v>
      </c>
      <c r="BN100" s="8">
        <v>5.9585939999999997</v>
      </c>
      <c r="BO100" s="8">
        <v>6.3384210000000003</v>
      </c>
      <c r="BP100" s="8">
        <v>6.25</v>
      </c>
      <c r="BQ100" s="8">
        <v>7.2504999999999997</v>
      </c>
      <c r="BR100" s="8">
        <v>7.1130769999999997</v>
      </c>
      <c r="BS100" s="8">
        <v>6.4225000000000003</v>
      </c>
      <c r="BT100" s="8">
        <v>7.0092309999999998</v>
      </c>
      <c r="BU100" s="8">
        <v>6.1524999999999999</v>
      </c>
    </row>
    <row r="101" spans="1:73" x14ac:dyDescent="0.25">
      <c r="A101" s="9" t="s">
        <v>268</v>
      </c>
      <c r="B101" s="5" t="s">
        <v>269</v>
      </c>
      <c r="C101" s="3">
        <v>0.37313767207230902</v>
      </c>
      <c r="D101" s="3">
        <v>1.0073322317163499E-2</v>
      </c>
      <c r="E101" s="10">
        <v>2.3738611442197521E-3</v>
      </c>
      <c r="F101" s="2">
        <v>3.662025147910665E-2</v>
      </c>
      <c r="G101" s="2">
        <v>8.7893598615917607</v>
      </c>
      <c r="H101" s="5">
        <v>8.1897786175561897</v>
      </c>
      <c r="I101" s="2">
        <f t="shared" si="1"/>
        <v>0.599581244035571</v>
      </c>
      <c r="J101">
        <v>1</v>
      </c>
      <c r="K101">
        <v>2</v>
      </c>
      <c r="L101" s="5">
        <v>2.6884456672346499E-2</v>
      </c>
      <c r="M101" s="5">
        <v>4.3853866456080103E-2</v>
      </c>
      <c r="N101" s="6">
        <v>22.803006457857201</v>
      </c>
      <c r="O101" s="3">
        <v>6.7601764234971196</v>
      </c>
      <c r="P101" s="3" t="s">
        <v>75</v>
      </c>
      <c r="Q101" s="3">
        <v>0.37313767207230902</v>
      </c>
      <c r="R101" s="3">
        <v>0</v>
      </c>
      <c r="S101" s="3">
        <v>0</v>
      </c>
      <c r="T101" s="3">
        <v>0</v>
      </c>
      <c r="U101">
        <v>0</v>
      </c>
      <c r="V101" s="3">
        <f>G101+U101</f>
        <v>8.7893598615917607</v>
      </c>
      <c r="W101" s="7">
        <v>9.1642860000000006</v>
      </c>
      <c r="X101" s="7">
        <v>9.35</v>
      </c>
      <c r="Y101" s="7">
        <v>9.3903230000000004</v>
      </c>
      <c r="Z101" s="7">
        <v>9.3357139999999994</v>
      </c>
      <c r="AA101" s="7">
        <v>9.1704349999999994</v>
      </c>
      <c r="AB101" s="7">
        <v>8.7718749999999996</v>
      </c>
      <c r="AC101" s="7">
        <v>8.9469999999999992</v>
      </c>
      <c r="AD101" s="7">
        <v>8.4160579999999996</v>
      </c>
      <c r="AE101" s="7">
        <v>8.9237880000000001</v>
      </c>
      <c r="AF101" s="7">
        <v>9.0576469999999993</v>
      </c>
      <c r="AG101" s="7">
        <v>9.0601920000000007</v>
      </c>
      <c r="AH101" s="7">
        <v>9.0164190000000008</v>
      </c>
      <c r="AI101" s="7">
        <v>9.2100000000000009</v>
      </c>
      <c r="AJ101" s="7">
        <v>8.5773080000000004</v>
      </c>
      <c r="AK101" s="7">
        <v>7.3814289999999998</v>
      </c>
      <c r="AL101" s="7">
        <v>7.888649</v>
      </c>
      <c r="AM101" s="7">
        <v>7.8815379999999999</v>
      </c>
      <c r="AN101" s="13">
        <v>5.9412182743387E-3</v>
      </c>
      <c r="AO101" s="13">
        <v>2.40163603277746E-3</v>
      </c>
      <c r="AP101" s="13">
        <v>2.6013227499127102E-3</v>
      </c>
      <c r="AQ101" s="13">
        <v>2.5210319166720902E-3</v>
      </c>
      <c r="AR101" s="13">
        <v>2.4497809864546501E-3</v>
      </c>
      <c r="AS101" s="13">
        <v>2.2230961624880299E-3</v>
      </c>
      <c r="AT101" s="13">
        <v>1.9862940460797099E-3</v>
      </c>
      <c r="AU101" s="13">
        <v>2.17008208869875E-3</v>
      </c>
      <c r="AV101" s="13">
        <v>1.93184573943866E-3</v>
      </c>
      <c r="AW101" s="13">
        <v>1.9030804314349001E-3</v>
      </c>
      <c r="AX101" s="13">
        <v>1.8953420751957901E-3</v>
      </c>
      <c r="AY101" s="13">
        <v>2.0772225112564899E-3</v>
      </c>
      <c r="AZ101" s="13">
        <v>1.9893979967644999E-3</v>
      </c>
      <c r="BA101" s="13">
        <v>2.16491788919769E-3</v>
      </c>
      <c r="BB101" s="13">
        <v>1.80286990791186E-3</v>
      </c>
      <c r="BC101" s="13">
        <v>2.1592503536499402E-3</v>
      </c>
      <c r="BD101" s="13">
        <v>2.1372502894637601E-3</v>
      </c>
      <c r="BE101" s="8">
        <v>8.5299420000000001</v>
      </c>
      <c r="BF101" s="8">
        <v>8.4981410000000004</v>
      </c>
      <c r="BG101" s="8">
        <v>8.1888850000000009</v>
      </c>
      <c r="BH101" s="8">
        <v>8.3585930000000008</v>
      </c>
      <c r="BI101" s="8">
        <v>8.2129639999999995</v>
      </c>
      <c r="BJ101" s="8">
        <v>8.1520639999999993</v>
      </c>
      <c r="BK101" s="8">
        <v>8.1220280000000002</v>
      </c>
      <c r="BL101" s="8">
        <v>8.0605270000000004</v>
      </c>
      <c r="BM101" s="8">
        <v>8.0501210000000007</v>
      </c>
      <c r="BN101" s="8">
        <v>8.1211300000000008</v>
      </c>
      <c r="BO101" s="8">
        <v>8.2422389999999996</v>
      </c>
      <c r="BP101" s="8">
        <v>8.1576179999999994</v>
      </c>
      <c r="BQ101" s="8">
        <v>8.291976</v>
      </c>
      <c r="BR101" s="8">
        <v>8.1989699999999992</v>
      </c>
      <c r="BS101" s="8">
        <v>8.2203610000000005</v>
      </c>
      <c r="BT101" s="8">
        <v>8.1357900000000001</v>
      </c>
      <c r="BU101" s="8">
        <v>8.2576739999999997</v>
      </c>
    </row>
    <row r="102" spans="1:73" x14ac:dyDescent="0.25">
      <c r="A102" s="9" t="s">
        <v>270</v>
      </c>
      <c r="B102" s="5" t="s">
        <v>271</v>
      </c>
      <c r="C102" s="3">
        <v>0.59411724242781205</v>
      </c>
      <c r="D102" s="3">
        <v>1.52948706242117E-2</v>
      </c>
      <c r="E102" s="10">
        <v>3.7797090523656969E-3</v>
      </c>
      <c r="F102" s="2">
        <v>1.1693264720818081E-2</v>
      </c>
      <c r="G102" s="2">
        <v>8.2939261744966295</v>
      </c>
      <c r="H102" s="5">
        <v>8.0567555862412306</v>
      </c>
      <c r="I102" s="2">
        <f t="shared" si="1"/>
        <v>0.23717058825539894</v>
      </c>
      <c r="J102">
        <v>1</v>
      </c>
      <c r="K102">
        <v>2</v>
      </c>
      <c r="L102" s="5">
        <v>5.4063309347723798E-2</v>
      </c>
      <c r="M102" s="5">
        <v>4.9306692463387598E-2</v>
      </c>
      <c r="N102" s="6">
        <v>20.281222488053601</v>
      </c>
      <c r="O102" s="3">
        <v>6.1396371447092504</v>
      </c>
      <c r="P102" s="3" t="s">
        <v>75</v>
      </c>
      <c r="Q102" s="3">
        <v>0.59411724242781205</v>
      </c>
      <c r="R102" s="3">
        <v>0</v>
      </c>
      <c r="S102" s="3">
        <v>0</v>
      </c>
      <c r="T102" s="3">
        <v>0</v>
      </c>
      <c r="U102">
        <v>0</v>
      </c>
      <c r="V102" s="3">
        <f>G102+U102</f>
        <v>8.2939261744966295</v>
      </c>
      <c r="W102" s="7">
        <v>8.3550000000000004</v>
      </c>
      <c r="X102" s="7">
        <v>9.5500000000000007</v>
      </c>
      <c r="Y102" s="7">
        <v>9.01</v>
      </c>
      <c r="Z102" s="7">
        <v>7.57</v>
      </c>
      <c r="AA102" s="7">
        <v>6.625</v>
      </c>
      <c r="AB102" s="7">
        <v>8.3687500000000004</v>
      </c>
      <c r="AC102" s="7">
        <v>7.03</v>
      </c>
      <c r="AD102" s="7">
        <v>9.0653849999999991</v>
      </c>
      <c r="AE102" s="7">
        <v>8.5115379999999998</v>
      </c>
      <c r="AF102" s="7">
        <v>7.7050000000000001</v>
      </c>
      <c r="AG102" s="7">
        <v>8.4756250000000009</v>
      </c>
      <c r="AH102" s="7">
        <v>7.7757139999999998</v>
      </c>
      <c r="AI102" s="7">
        <v>7.9942859999999998</v>
      </c>
      <c r="AJ102" s="7">
        <v>7.27</v>
      </c>
      <c r="AK102" s="7">
        <v>8.35</v>
      </c>
      <c r="AL102" s="7">
        <v>8.1460000000000008</v>
      </c>
      <c r="AM102" s="7">
        <v>7.8014289999999997</v>
      </c>
      <c r="AN102" s="13">
        <v>9.4597262136743195E-3</v>
      </c>
      <c r="AO102" s="13">
        <v>3.8239327838024101E-3</v>
      </c>
      <c r="AP102" s="13">
        <v>4.14187795689355E-3</v>
      </c>
      <c r="AQ102" s="13">
        <v>4.0140372910818702E-3</v>
      </c>
      <c r="AR102" s="13">
        <v>3.9005901391336202E-3</v>
      </c>
      <c r="AS102" s="13">
        <v>3.5396580419606999E-3</v>
      </c>
      <c r="AT102" s="13">
        <v>3.1626169900073101E-3</v>
      </c>
      <c r="AU102" s="13">
        <v>3.45524797648908E-3</v>
      </c>
      <c r="AV102" s="13">
        <v>3.0759233103882198E-3</v>
      </c>
      <c r="AW102" s="13">
        <v>3.03012261335899E-3</v>
      </c>
      <c r="AX102" s="13">
        <v>3.0178014482400402E-3</v>
      </c>
      <c r="AY102" s="13">
        <v>3.3073951055189298E-3</v>
      </c>
      <c r="AZ102" s="13">
        <v>3.1675591621853098E-3</v>
      </c>
      <c r="BA102" s="13">
        <v>3.44702543506119E-3</v>
      </c>
      <c r="BB102" s="13">
        <v>2.87056541944956E-3</v>
      </c>
      <c r="BC102" s="13">
        <v>3.4380014719424599E-3</v>
      </c>
      <c r="BD102" s="13">
        <v>3.40297253102921E-3</v>
      </c>
      <c r="BE102" s="8">
        <v>8.1729079999999996</v>
      </c>
      <c r="BF102" s="8">
        <v>8.1300000000000008</v>
      </c>
      <c r="BG102" s="8">
        <v>8.218337</v>
      </c>
      <c r="BH102" s="8">
        <v>8.4320179999999993</v>
      </c>
      <c r="BI102" s="8">
        <v>8.1603999999999992</v>
      </c>
      <c r="BJ102" s="8">
        <v>8.0263299999999997</v>
      </c>
      <c r="BK102" s="8">
        <v>7.6166179999999999</v>
      </c>
      <c r="BL102" s="8">
        <v>7.8897880000000002</v>
      </c>
      <c r="BM102" s="8">
        <v>7.8671720000000001</v>
      </c>
      <c r="BN102" s="8">
        <v>7.8343299999999996</v>
      </c>
      <c r="BO102" s="8">
        <v>8.1003860000000003</v>
      </c>
      <c r="BP102" s="8">
        <v>8.0341120000000004</v>
      </c>
      <c r="BQ102" s="8">
        <v>8.1650580000000001</v>
      </c>
      <c r="BR102" s="8">
        <v>8.3076159999999994</v>
      </c>
      <c r="BS102" s="8">
        <v>8.3579659999999993</v>
      </c>
      <c r="BT102" s="8">
        <v>8.1193100000000005</v>
      </c>
      <c r="BU102" s="8">
        <v>8.1127690000000001</v>
      </c>
    </row>
    <row r="103" spans="1:73" x14ac:dyDescent="0.25">
      <c r="A103" s="9" t="s">
        <v>272</v>
      </c>
      <c r="B103" s="5" t="s">
        <v>273</v>
      </c>
      <c r="C103" s="3">
        <v>0.40049850635744699</v>
      </c>
      <c r="D103" s="3">
        <v>2.8612359585082701E-2</v>
      </c>
      <c r="E103" s="10">
        <v>2.5479277856880461E-3</v>
      </c>
      <c r="F103" s="2">
        <v>5.0960655612330291E-3</v>
      </c>
      <c r="G103" s="2">
        <v>6.6033333333333299</v>
      </c>
      <c r="H103" s="5">
        <v>7.0139593908629303</v>
      </c>
      <c r="I103" s="2">
        <f t="shared" si="1"/>
        <v>-0.41062605752960035</v>
      </c>
      <c r="J103">
        <v>3</v>
      </c>
      <c r="K103">
        <v>2</v>
      </c>
      <c r="L103" s="5">
        <v>8.7720147990370798E-2</v>
      </c>
      <c r="M103" s="5">
        <v>0.12628723330886399</v>
      </c>
      <c r="N103" s="6">
        <v>7.9184567893278199</v>
      </c>
      <c r="O103" s="3">
        <v>7.0785002773056496</v>
      </c>
      <c r="P103" s="3" t="s">
        <v>75</v>
      </c>
      <c r="Q103" s="3">
        <v>0.40049850635744699</v>
      </c>
      <c r="R103" s="3">
        <v>0</v>
      </c>
      <c r="S103" s="3">
        <v>0</v>
      </c>
      <c r="T103" s="3">
        <v>0</v>
      </c>
      <c r="U103">
        <v>0</v>
      </c>
      <c r="V103" s="3">
        <f>G103+U103</f>
        <v>6.6033333333333299</v>
      </c>
      <c r="W103" s="7">
        <v>0</v>
      </c>
      <c r="X103" s="7">
        <v>6.1</v>
      </c>
      <c r="Y103" s="7">
        <v>7.9</v>
      </c>
      <c r="Z103" s="7">
        <v>0</v>
      </c>
      <c r="AA103" s="7">
        <v>0</v>
      </c>
      <c r="AB103" s="7">
        <v>3.61</v>
      </c>
      <c r="AC103" s="7">
        <v>3.25</v>
      </c>
      <c r="AD103" s="7">
        <v>3.7</v>
      </c>
      <c r="AE103" s="7">
        <v>6.4</v>
      </c>
      <c r="AF103" s="7">
        <v>9.3249999999999993</v>
      </c>
      <c r="AG103" s="7">
        <v>7.03</v>
      </c>
      <c r="AH103" s="7">
        <v>9.1</v>
      </c>
      <c r="AI103" s="7">
        <v>5.95</v>
      </c>
      <c r="AJ103" s="7">
        <v>7.0750000000000002</v>
      </c>
      <c r="AK103" s="7">
        <v>7.3</v>
      </c>
      <c r="AL103" s="7">
        <v>7.9749999999999996</v>
      </c>
      <c r="AM103" s="7">
        <v>6.5125000000000002</v>
      </c>
      <c r="AN103" s="13">
        <v>6.3768662960279002E-3</v>
      </c>
      <c r="AO103" s="13">
        <v>2.5777393062451298E-3</v>
      </c>
      <c r="AP103" s="13">
        <v>2.7920683272414102E-3</v>
      </c>
      <c r="AQ103" s="13">
        <v>2.7058900579488101E-3</v>
      </c>
      <c r="AR103" s="13">
        <v>2.6294145550327399E-3</v>
      </c>
      <c r="AS103" s="13">
        <v>2.3861077537968198E-3</v>
      </c>
      <c r="AT103" s="13">
        <v>2.1319417957012302E-3</v>
      </c>
      <c r="AU103" s="13">
        <v>2.3292063499513798E-3</v>
      </c>
      <c r="AV103" s="13">
        <v>2.0735009919026501E-3</v>
      </c>
      <c r="AW103" s="13">
        <v>2.0426264280280501E-3</v>
      </c>
      <c r="AX103" s="13">
        <v>2.0343206461480999E-3</v>
      </c>
      <c r="AY103" s="13">
        <v>2.2295377159588302E-3</v>
      </c>
      <c r="AZ103" s="13">
        <v>2.1352733478496901E-3</v>
      </c>
      <c r="BA103" s="13">
        <v>2.3236634784015299E-3</v>
      </c>
      <c r="BB103" s="13">
        <v>1.9350678296979E-3</v>
      </c>
      <c r="BC103" s="13">
        <v>2.3175803629953699E-3</v>
      </c>
      <c r="BD103" s="13">
        <v>2.2939671137691599E-3</v>
      </c>
      <c r="BE103" s="8">
        <v>7.7514519999999996</v>
      </c>
      <c r="BF103" s="8">
        <v>7.2748840000000001</v>
      </c>
      <c r="BG103" s="8">
        <v>6.9614929999999999</v>
      </c>
      <c r="BH103" s="8">
        <v>7.3516180000000002</v>
      </c>
      <c r="BI103" s="8">
        <v>7.1001469999999998</v>
      </c>
      <c r="BJ103" s="8">
        <v>6.884773</v>
      </c>
      <c r="BK103" s="8">
        <v>6.7737499999999997</v>
      </c>
      <c r="BL103" s="8">
        <v>6.9207850000000004</v>
      </c>
      <c r="BM103" s="8">
        <v>6.4479170000000003</v>
      </c>
      <c r="BN103" s="8">
        <v>7.0136070000000004</v>
      </c>
      <c r="BO103" s="8">
        <v>7.1532929999999997</v>
      </c>
      <c r="BP103" s="8">
        <v>6.8589339999999996</v>
      </c>
      <c r="BQ103" s="8">
        <v>7.0863189999999996</v>
      </c>
      <c r="BR103" s="8">
        <v>7.3028719999999998</v>
      </c>
      <c r="BS103" s="8">
        <v>7.6446339999999999</v>
      </c>
      <c r="BT103" s="8">
        <v>7.2073910000000003</v>
      </c>
      <c r="BU103" s="8">
        <v>7.0674999999999999</v>
      </c>
    </row>
    <row r="104" spans="1:73" x14ac:dyDescent="0.25">
      <c r="A104" s="9" t="s">
        <v>274</v>
      </c>
      <c r="B104" s="5" t="s">
        <v>275</v>
      </c>
      <c r="C104" s="3">
        <v>0.26658103980985498</v>
      </c>
      <c r="D104" s="3">
        <v>5.3901114396710102E-2</v>
      </c>
      <c r="E104" s="10">
        <v>1.695959479716323E-3</v>
      </c>
      <c r="F104" s="2">
        <v>1.4950966088445503E-3</v>
      </c>
      <c r="G104" s="2">
        <v>6.8776923076923104</v>
      </c>
      <c r="H104" s="5">
        <v>6.3266297468354296</v>
      </c>
      <c r="I104" s="2">
        <f t="shared" si="1"/>
        <v>0.55106256085688088</v>
      </c>
      <c r="J104">
        <v>6</v>
      </c>
      <c r="K104">
        <v>4</v>
      </c>
      <c r="L104" s="5">
        <v>0.34227633459830498</v>
      </c>
      <c r="M104" s="5">
        <v>0.128333662370925</v>
      </c>
      <c r="N104" s="6">
        <v>7.7921878135892602</v>
      </c>
      <c r="O104" s="3">
        <v>7.0112819291999298</v>
      </c>
      <c r="P104" s="3" t="s">
        <v>75</v>
      </c>
      <c r="Q104" s="3">
        <v>0.26658103980985498</v>
      </c>
      <c r="R104" s="3">
        <v>0</v>
      </c>
      <c r="S104" s="3">
        <v>0</v>
      </c>
      <c r="T104" s="3">
        <v>0</v>
      </c>
      <c r="U104">
        <v>0</v>
      </c>
      <c r="V104" s="3">
        <f>G104+U104</f>
        <v>6.8776923076923104</v>
      </c>
      <c r="W104" s="7">
        <v>0</v>
      </c>
      <c r="X104" s="7">
        <v>0</v>
      </c>
      <c r="Y104" s="7">
        <v>6.4</v>
      </c>
      <c r="Z104" s="7">
        <v>4.5999999999999996</v>
      </c>
      <c r="AA104" s="7">
        <v>3.61</v>
      </c>
      <c r="AB104" s="7">
        <v>0</v>
      </c>
      <c r="AC104" s="7">
        <v>5.5</v>
      </c>
      <c r="AD104" s="7">
        <v>0</v>
      </c>
      <c r="AE104" s="7">
        <v>0</v>
      </c>
      <c r="AF104" s="7">
        <v>7.9749999999999996</v>
      </c>
      <c r="AG104" s="7">
        <v>7.9749999999999996</v>
      </c>
      <c r="AH104" s="7">
        <v>0</v>
      </c>
      <c r="AI104" s="7">
        <v>0</v>
      </c>
      <c r="AJ104" s="7">
        <v>5.5</v>
      </c>
      <c r="AK104" s="7">
        <v>0</v>
      </c>
      <c r="AL104" s="7">
        <v>9.5500000000000007</v>
      </c>
      <c r="AM104" s="7">
        <v>0</v>
      </c>
      <c r="AN104" s="13">
        <v>4.2445892330153102E-3</v>
      </c>
      <c r="AO104" s="13">
        <v>1.7158027151398499E-3</v>
      </c>
      <c r="AP104" s="13">
        <v>1.8584650531302501E-3</v>
      </c>
      <c r="AQ104" s="13">
        <v>1.8011028101446701E-3</v>
      </c>
      <c r="AR104" s="13">
        <v>1.7501989521683499E-3</v>
      </c>
      <c r="AS104" s="13">
        <v>1.5882483355326099E-3</v>
      </c>
      <c r="AT104" s="13">
        <v>1.41906961372006E-3</v>
      </c>
      <c r="AU104" s="13">
        <v>1.55037344920228E-3</v>
      </c>
      <c r="AV104" s="13">
        <v>1.38017006728818E-3</v>
      </c>
      <c r="AW104" s="13">
        <v>1.3596192457227701E-3</v>
      </c>
      <c r="AX104" s="13">
        <v>1.35409072580361E-3</v>
      </c>
      <c r="AY104" s="13">
        <v>1.4840317084357101E-3</v>
      </c>
      <c r="AZ104" s="13">
        <v>1.4212871716430501E-3</v>
      </c>
      <c r="BA104" s="13">
        <v>1.54668398610108E-3</v>
      </c>
      <c r="BB104" s="13">
        <v>1.2880257627804099E-3</v>
      </c>
      <c r="BC104" s="13">
        <v>1.5426349242331401E-3</v>
      </c>
      <c r="BD104" s="13">
        <v>1.5269174011161E-3</v>
      </c>
      <c r="BE104" s="8">
        <v>6.94</v>
      </c>
      <c r="BF104" s="8">
        <v>5.152857</v>
      </c>
      <c r="BG104" s="8">
        <v>6.1935289999999998</v>
      </c>
      <c r="BH104" s="8">
        <v>6.625</v>
      </c>
      <c r="BI104" s="8">
        <v>6.3918179999999998</v>
      </c>
      <c r="BJ104" s="8">
        <v>6.2965</v>
      </c>
      <c r="BK104" s="8">
        <v>6.202</v>
      </c>
      <c r="BL104" s="8">
        <v>6.146852</v>
      </c>
      <c r="BM104" s="8">
        <v>6.7149999999999999</v>
      </c>
      <c r="BN104" s="8">
        <v>6.3239999999999998</v>
      </c>
      <c r="BO104" s="8">
        <v>7.0933330000000003</v>
      </c>
      <c r="BP104" s="8">
        <v>6.1218919999999999</v>
      </c>
      <c r="BQ104" s="8">
        <v>5.8466670000000001</v>
      </c>
      <c r="BR104" s="8">
        <v>6.625</v>
      </c>
      <c r="BS104" s="8">
        <v>6.0645449999999999</v>
      </c>
      <c r="BT104" s="8">
        <v>6.3550000000000004</v>
      </c>
      <c r="BU104" s="8">
        <v>6.7554999999999996</v>
      </c>
    </row>
    <row r="105" spans="1:73" x14ac:dyDescent="0.25">
      <c r="A105" s="9" t="s">
        <v>276</v>
      </c>
      <c r="B105" s="5" t="s">
        <v>277</v>
      </c>
      <c r="C105" s="3">
        <v>0.24114572255459901</v>
      </c>
      <c r="D105" s="3">
        <v>3.2686240092083499E-2</v>
      </c>
      <c r="E105" s="10">
        <v>1.366006589838446E-3</v>
      </c>
      <c r="F105" s="2">
        <v>2.300355175705164E-3</v>
      </c>
      <c r="G105" s="2">
        <v>7.56216216216216</v>
      </c>
      <c r="H105" s="5">
        <v>7.0301592356688198</v>
      </c>
      <c r="I105" s="2">
        <f t="shared" si="1"/>
        <v>0.53200292649334013</v>
      </c>
      <c r="J105">
        <v>6</v>
      </c>
      <c r="K105">
        <v>4</v>
      </c>
      <c r="L105" s="5">
        <v>0.22064619228090099</v>
      </c>
      <c r="M105" s="5">
        <v>0.106839990538232</v>
      </c>
      <c r="N105" s="6">
        <v>9.3597911696010208</v>
      </c>
      <c r="O105" s="3">
        <v>6.9404494423993901</v>
      </c>
      <c r="P105" s="3" t="s">
        <v>78</v>
      </c>
      <c r="Q105" s="3">
        <v>41.858925257621301</v>
      </c>
      <c r="R105" s="3">
        <v>5.8199074727280599E-3</v>
      </c>
      <c r="S105" s="3">
        <v>0</v>
      </c>
      <c r="T105" s="3">
        <v>1.09164770592427E-2</v>
      </c>
      <c r="U105">
        <v>0</v>
      </c>
      <c r="V105" s="3">
        <f>G105+U105</f>
        <v>7.56216216216216</v>
      </c>
      <c r="W105" s="7">
        <v>2.8</v>
      </c>
      <c r="X105" s="7">
        <v>6.1749999999999998</v>
      </c>
      <c r="Y105" s="7">
        <v>9.5500000000000007</v>
      </c>
      <c r="Z105" s="7">
        <v>9.5500000000000007</v>
      </c>
      <c r="AA105" s="7">
        <v>0</v>
      </c>
      <c r="AB105" s="7">
        <v>5.5</v>
      </c>
      <c r="AC105" s="7">
        <v>6.2874999999999996</v>
      </c>
      <c r="AD105" s="7">
        <v>8.2899999999999991</v>
      </c>
      <c r="AE105" s="7">
        <v>2.8</v>
      </c>
      <c r="AF105" s="7">
        <v>7.1920000000000002</v>
      </c>
      <c r="AG105" s="7">
        <v>9.3249999999999993</v>
      </c>
      <c r="AH105" s="7">
        <v>8.6125000000000007</v>
      </c>
      <c r="AI105" s="7">
        <v>6.4</v>
      </c>
      <c r="AJ105" s="7">
        <v>9.5500000000000007</v>
      </c>
      <c r="AK105" s="7">
        <v>6.4</v>
      </c>
      <c r="AL105" s="7">
        <v>6.13</v>
      </c>
      <c r="AM105" s="7">
        <v>0</v>
      </c>
      <c r="AN105" s="13">
        <v>3.4187944539960701E-3</v>
      </c>
      <c r="AO105" s="13">
        <v>1.3819892773238699E-3</v>
      </c>
      <c r="AP105" s="13">
        <v>1.4968963232453E-3</v>
      </c>
      <c r="AQ105" s="13">
        <v>1.45069403901424E-3</v>
      </c>
      <c r="AR105" s="13">
        <v>1.40969364585892E-3</v>
      </c>
      <c r="AS105" s="13">
        <v>1.2792509010889699E-3</v>
      </c>
      <c r="AT105" s="13">
        <v>1.14298629593753E-3</v>
      </c>
      <c r="AU105" s="13">
        <v>1.2487446626231399E-3</v>
      </c>
      <c r="AV105" s="13">
        <v>1.11165474739336E-3</v>
      </c>
      <c r="AW105" s="13">
        <v>1.0951021363075999E-3</v>
      </c>
      <c r="AX105" s="13">
        <v>1.0906492028903E-3</v>
      </c>
      <c r="AY105" s="13">
        <v>1.1953098629405199E-3</v>
      </c>
      <c r="AZ105" s="13">
        <v>1.14477242277156E-3</v>
      </c>
      <c r="BA105" s="13">
        <v>1.24577299321153E-3</v>
      </c>
      <c r="BB105" s="13">
        <v>1.0374373331926701E-3</v>
      </c>
      <c r="BC105" s="13">
        <v>1.2425116858156701E-3</v>
      </c>
      <c r="BD105" s="13">
        <v>1.22985204364226E-3</v>
      </c>
      <c r="BE105" s="8">
        <v>6.391</v>
      </c>
      <c r="BF105" s="8">
        <v>6.9190909999999999</v>
      </c>
      <c r="BG105" s="8">
        <v>6.2025930000000002</v>
      </c>
      <c r="BH105" s="8">
        <v>8.1357140000000001</v>
      </c>
      <c r="BI105" s="8">
        <v>7.5750000000000002</v>
      </c>
      <c r="BJ105" s="8">
        <v>6.4736359999999999</v>
      </c>
      <c r="BK105" s="8">
        <v>6.4470000000000001</v>
      </c>
      <c r="BL105" s="8">
        <v>6.71</v>
      </c>
      <c r="BM105" s="8">
        <v>6.4144439999999996</v>
      </c>
      <c r="BN105" s="8">
        <v>6.5747869999999997</v>
      </c>
      <c r="BO105" s="8">
        <v>7.2594120000000002</v>
      </c>
      <c r="BP105" s="8">
        <v>7.4585379999999999</v>
      </c>
      <c r="BQ105" s="8">
        <v>7.0502039999999999</v>
      </c>
      <c r="BR105" s="8">
        <v>7.4696150000000001</v>
      </c>
      <c r="BS105" s="8">
        <v>7.5124000000000004</v>
      </c>
      <c r="BT105" s="8">
        <v>7.3058699999999996</v>
      </c>
      <c r="BU105" s="8">
        <v>7.486923</v>
      </c>
    </row>
    <row r="106" spans="1:73" x14ac:dyDescent="0.25">
      <c r="A106" s="9" t="s">
        <v>278</v>
      </c>
      <c r="B106" s="5" t="s">
        <v>279</v>
      </c>
      <c r="C106" s="3">
        <v>0.29408987243839202</v>
      </c>
      <c r="D106" s="3">
        <v>3.8189562162210602E-2</v>
      </c>
      <c r="E106" s="10">
        <v>1.870967670492285E-3</v>
      </c>
      <c r="F106" s="2">
        <v>2.7916875875605464E-3</v>
      </c>
      <c r="G106" s="2">
        <v>7.6150000000000002</v>
      </c>
      <c r="H106" s="5">
        <v>8.1328627968338392</v>
      </c>
      <c r="I106" s="2">
        <f t="shared" si="1"/>
        <v>-0.51786279683383896</v>
      </c>
      <c r="J106">
        <v>7</v>
      </c>
      <c r="K106">
        <v>4</v>
      </c>
      <c r="L106" s="5">
        <v>0.157897995985668</v>
      </c>
      <c r="M106" s="5">
        <v>0.159254207614869</v>
      </c>
      <c r="N106" s="6">
        <v>6.2792689435141398</v>
      </c>
      <c r="O106" s="3">
        <v>9.5500000000000007</v>
      </c>
      <c r="P106" s="3" t="s">
        <v>78</v>
      </c>
      <c r="Q106" s="3">
        <v>34.534882812132103</v>
      </c>
      <c r="R106" s="3">
        <v>8.3106012895494408E-3</v>
      </c>
      <c r="S106" s="3">
        <v>0</v>
      </c>
      <c r="T106" s="3">
        <v>3.5401635661611801E-2</v>
      </c>
      <c r="U106">
        <v>0</v>
      </c>
      <c r="V106" s="3">
        <f>G106+U106</f>
        <v>7.6150000000000002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9.5500000000000007</v>
      </c>
      <c r="AD106" s="7">
        <v>2.8</v>
      </c>
      <c r="AE106" s="7">
        <v>7.0750000000000002</v>
      </c>
      <c r="AF106" s="7">
        <v>0</v>
      </c>
      <c r="AG106" s="7">
        <v>8.65</v>
      </c>
      <c r="AH106" s="7">
        <v>0</v>
      </c>
      <c r="AI106" s="7">
        <v>0</v>
      </c>
      <c r="AJ106" s="7">
        <v>2.8</v>
      </c>
      <c r="AK106" s="7">
        <v>0</v>
      </c>
      <c r="AL106" s="7">
        <v>0</v>
      </c>
      <c r="AM106" s="7">
        <v>9.5500000000000007</v>
      </c>
      <c r="AN106" s="13">
        <v>4.6825937320269196E-3</v>
      </c>
      <c r="AO106" s="13">
        <v>1.89285855432495E-3</v>
      </c>
      <c r="AP106" s="13">
        <v>2.0502423983195799E-3</v>
      </c>
      <c r="AQ106" s="13">
        <v>1.9869608733677699E-3</v>
      </c>
      <c r="AR106" s="13">
        <v>1.9308041822934201E-3</v>
      </c>
      <c r="AS106" s="13">
        <v>1.75214167793192E-3</v>
      </c>
      <c r="AT106" s="13">
        <v>1.56550519113364E-3</v>
      </c>
      <c r="AU106" s="13">
        <v>1.7103584344670001E-3</v>
      </c>
      <c r="AV106" s="13">
        <v>1.5225915516031501E-3</v>
      </c>
      <c r="AW106" s="13">
        <v>1.4999200649250799E-3</v>
      </c>
      <c r="AX106" s="13">
        <v>1.49382105008532E-3</v>
      </c>
      <c r="AY106" s="13">
        <v>1.6371708060696601E-3</v>
      </c>
      <c r="AZ106" s="13">
        <v>1.56795158164649E-3</v>
      </c>
      <c r="BA106" s="13">
        <v>1.7062882510301999E-3</v>
      </c>
      <c r="BB106" s="13">
        <v>1.4209387604746299E-3</v>
      </c>
      <c r="BC106" s="13">
        <v>1.70182136137786E-3</v>
      </c>
      <c r="BD106" s="13">
        <v>1.6844819272911901E-3</v>
      </c>
      <c r="BE106" s="8">
        <v>8.1999999999999993</v>
      </c>
      <c r="BF106" s="8">
        <v>7.7891300000000001</v>
      </c>
      <c r="BG106" s="8">
        <v>8.1150000000000002</v>
      </c>
      <c r="BH106" s="8">
        <v>8.0274999999999999</v>
      </c>
      <c r="BI106" s="8">
        <v>8.0752269999999999</v>
      </c>
      <c r="BJ106" s="8">
        <v>8.0987500000000008</v>
      </c>
      <c r="BK106" s="8">
        <v>7.8565310000000004</v>
      </c>
      <c r="BL106" s="8">
        <v>8.0495520000000003</v>
      </c>
      <c r="BM106" s="8">
        <v>7.5734620000000001</v>
      </c>
      <c r="BN106" s="8">
        <v>8.1061969999999999</v>
      </c>
      <c r="BO106" s="8">
        <v>8.0941890000000001</v>
      </c>
      <c r="BP106" s="8">
        <v>8.4659460000000006</v>
      </c>
      <c r="BQ106" s="8">
        <v>8.6288239999999998</v>
      </c>
      <c r="BR106" s="8">
        <v>7.7781250000000002</v>
      </c>
      <c r="BS106" s="8">
        <v>8.6</v>
      </c>
      <c r="BT106" s="8">
        <v>8.5749999999999993</v>
      </c>
      <c r="BU106" s="8">
        <v>8.6082140000000003</v>
      </c>
    </row>
    <row r="107" spans="1:73" x14ac:dyDescent="0.25">
      <c r="A107" s="9" t="s">
        <v>280</v>
      </c>
      <c r="B107" s="5" t="s">
        <v>281</v>
      </c>
      <c r="C107" s="3">
        <v>0.29255197075435402</v>
      </c>
      <c r="D107" s="3">
        <v>1.1533561512508299E-2</v>
      </c>
      <c r="E107" s="10">
        <v>1.861183707830212E-3</v>
      </c>
      <c r="F107" s="2">
        <v>8.828214771228849E-3</v>
      </c>
      <c r="G107" s="2">
        <v>5.5121804511278203</v>
      </c>
      <c r="H107" s="5">
        <v>6.0155239416357604</v>
      </c>
      <c r="I107" s="2">
        <f t="shared" si="1"/>
        <v>-0.50334349050794014</v>
      </c>
      <c r="J107">
        <v>8</v>
      </c>
      <c r="K107">
        <v>2</v>
      </c>
      <c r="L107" s="5">
        <v>8.7546454565918794E-2</v>
      </c>
      <c r="M107" s="5">
        <v>4.8571968512039002E-2</v>
      </c>
      <c r="N107" s="6">
        <v>20.588006429101998</v>
      </c>
      <c r="O107" s="3">
        <v>6.7598473137947899</v>
      </c>
      <c r="P107" s="3" t="s">
        <v>75</v>
      </c>
      <c r="Q107" s="3">
        <v>0.29255197075435402</v>
      </c>
      <c r="R107" s="3">
        <v>0</v>
      </c>
      <c r="S107" s="3">
        <v>0</v>
      </c>
      <c r="T107" s="3">
        <v>0</v>
      </c>
      <c r="U107">
        <v>0</v>
      </c>
      <c r="V107" s="3">
        <f>G107+U107</f>
        <v>5.5121804511278203</v>
      </c>
      <c r="W107" s="7">
        <v>6.1749999999999998</v>
      </c>
      <c r="X107" s="7">
        <v>5.628571</v>
      </c>
      <c r="Y107" s="7">
        <v>6.29</v>
      </c>
      <c r="Z107" s="7">
        <v>5.05</v>
      </c>
      <c r="AA107" s="7">
        <v>6.7</v>
      </c>
      <c r="AB107" s="7">
        <v>5.95</v>
      </c>
      <c r="AC107" s="7">
        <v>4.117273</v>
      </c>
      <c r="AD107" s="7">
        <v>5.3274999999999997</v>
      </c>
      <c r="AE107" s="7">
        <v>5.1985000000000001</v>
      </c>
      <c r="AF107" s="7">
        <v>5.1624999999999996</v>
      </c>
      <c r="AG107" s="7">
        <v>4.6224999999999996</v>
      </c>
      <c r="AH107" s="7">
        <v>7.4145450000000004</v>
      </c>
      <c r="AI107" s="7">
        <v>4.7949999999999999</v>
      </c>
      <c r="AJ107" s="7">
        <v>5.28</v>
      </c>
      <c r="AK107" s="7">
        <v>6.0014289999999999</v>
      </c>
      <c r="AL107" s="7">
        <v>6.2971430000000002</v>
      </c>
      <c r="AM107" s="7">
        <v>4.8099999999999996</v>
      </c>
      <c r="AN107" s="13">
        <v>4.6581067657589497E-3</v>
      </c>
      <c r="AO107" s="13">
        <v>1.8829601163603701E-3</v>
      </c>
      <c r="AP107" s="13">
        <v>2.0395209436468299E-3</v>
      </c>
      <c r="AQ107" s="13">
        <v>1.9765703405420902E-3</v>
      </c>
      <c r="AR107" s="13">
        <v>1.9207073129967099E-3</v>
      </c>
      <c r="AS107" s="13">
        <v>1.7429790991092501E-3</v>
      </c>
      <c r="AT107" s="13">
        <v>1.5573186016062501E-3</v>
      </c>
      <c r="AU107" s="13">
        <v>1.7014143552477299E-3</v>
      </c>
      <c r="AV107" s="13">
        <v>1.5146293729266199E-3</v>
      </c>
      <c r="AW107" s="13">
        <v>1.4920764436040001E-3</v>
      </c>
      <c r="AX107" s="13">
        <v>1.4860093227057601E-3</v>
      </c>
      <c r="AY107" s="13">
        <v>1.6286094512741401E-3</v>
      </c>
      <c r="AZ107" s="13">
        <v>1.5597521990635E-3</v>
      </c>
      <c r="BA107" s="13">
        <v>1.6973654562635701E-3</v>
      </c>
      <c r="BB107" s="13">
        <v>1.4135081607925301E-3</v>
      </c>
      <c r="BC107" s="13">
        <v>1.6929219255832999E-3</v>
      </c>
      <c r="BD107" s="13">
        <v>1.67567316563193E-3</v>
      </c>
      <c r="BE107" s="8">
        <v>6.1044919999999996</v>
      </c>
      <c r="BF107" s="8">
        <v>5.9380959999999998</v>
      </c>
      <c r="BG107" s="8">
        <v>6.4524340000000002</v>
      </c>
      <c r="BH107" s="8">
        <v>6.2885289999999996</v>
      </c>
      <c r="BI107" s="8">
        <v>5.870603</v>
      </c>
      <c r="BJ107" s="8">
        <v>6.004448</v>
      </c>
      <c r="BK107" s="8">
        <v>6.2771220000000003</v>
      </c>
      <c r="BL107" s="8">
        <v>6.0262010000000004</v>
      </c>
      <c r="BM107" s="8">
        <v>5.7029569999999996</v>
      </c>
      <c r="BN107" s="8">
        <v>5.7918770000000004</v>
      </c>
      <c r="BO107" s="8">
        <v>6.0643029999999998</v>
      </c>
      <c r="BP107" s="8">
        <v>6.222397</v>
      </c>
      <c r="BQ107" s="8">
        <v>5.9905730000000004</v>
      </c>
      <c r="BR107" s="8">
        <v>5.7383040000000003</v>
      </c>
      <c r="BS107" s="8">
        <v>5.4885570000000001</v>
      </c>
      <c r="BT107" s="8">
        <v>6.1397909999999998</v>
      </c>
      <c r="BU107" s="8">
        <v>5.825825</v>
      </c>
    </row>
    <row r="108" spans="1:73" x14ac:dyDescent="0.25">
      <c r="A108" s="9" t="s">
        <v>282</v>
      </c>
      <c r="B108" s="5" t="s">
        <v>283</v>
      </c>
      <c r="C108" s="3">
        <v>0.24449693476661399</v>
      </c>
      <c r="D108" s="3">
        <v>2.5841400866574198E-2</v>
      </c>
      <c r="E108" s="10">
        <v>2.5890012157672102E-3</v>
      </c>
      <c r="F108" s="2">
        <v>1.7926510032559221E-3</v>
      </c>
      <c r="G108" s="2">
        <v>5.2871153846153804</v>
      </c>
      <c r="H108" s="5">
        <v>5.6610613134142502</v>
      </c>
      <c r="I108" s="2">
        <f t="shared" si="1"/>
        <v>-0.37394592879886979</v>
      </c>
      <c r="J108">
        <v>3</v>
      </c>
      <c r="K108">
        <v>2</v>
      </c>
      <c r="L108" s="5">
        <v>0.240041745335421</v>
      </c>
      <c r="M108" s="5">
        <v>6.6889526242821004E-2</v>
      </c>
      <c r="N108" s="6">
        <v>14.950023660951301</v>
      </c>
      <c r="O108" s="3">
        <v>6.52959384026199</v>
      </c>
      <c r="P108" s="3" t="s">
        <v>78</v>
      </c>
      <c r="Q108" s="3">
        <v>43.153356032957497</v>
      </c>
      <c r="R108" s="3">
        <v>5.71288042537587E-3</v>
      </c>
      <c r="S108" s="3">
        <v>0</v>
      </c>
      <c r="T108" s="3">
        <v>3.41456543873715E-3</v>
      </c>
      <c r="U108">
        <v>0</v>
      </c>
      <c r="V108" s="3">
        <f>G108+U108</f>
        <v>5.2871153846153804</v>
      </c>
      <c r="W108" s="7">
        <v>2.8</v>
      </c>
      <c r="X108" s="7">
        <v>4.5999999999999996</v>
      </c>
      <c r="Y108" s="7">
        <v>0</v>
      </c>
      <c r="Z108" s="7">
        <v>0</v>
      </c>
      <c r="AA108" s="7">
        <v>0</v>
      </c>
      <c r="AB108" s="7">
        <v>0</v>
      </c>
      <c r="AC108" s="7">
        <v>3.61</v>
      </c>
      <c r="AD108" s="7">
        <v>5.65</v>
      </c>
      <c r="AE108" s="7">
        <v>3.2050000000000001</v>
      </c>
      <c r="AF108" s="7">
        <v>0</v>
      </c>
      <c r="AG108" s="7">
        <v>4.9375</v>
      </c>
      <c r="AH108" s="7">
        <v>9.5500000000000007</v>
      </c>
      <c r="AI108" s="7">
        <v>0</v>
      </c>
      <c r="AJ108" s="7">
        <v>7.09</v>
      </c>
      <c r="AK108" s="7">
        <v>5.2</v>
      </c>
      <c r="AL108" s="7">
        <v>3.8125</v>
      </c>
      <c r="AM108" s="7">
        <v>5.5750000000000002</v>
      </c>
      <c r="AN108" s="13">
        <v>6.4796634684616298E-3</v>
      </c>
      <c r="AO108" s="13">
        <v>2.6192933077957602E-3</v>
      </c>
      <c r="AP108" s="13">
        <v>2.8370773827803299E-3</v>
      </c>
      <c r="AQ108" s="13">
        <v>2.7495098915725699E-3</v>
      </c>
      <c r="AR108" s="13">
        <v>2.6718015785119399E-3</v>
      </c>
      <c r="AS108" s="13">
        <v>2.4245725919831399E-3</v>
      </c>
      <c r="AT108" s="13">
        <v>2.1663093954308798E-3</v>
      </c>
      <c r="AU108" s="13">
        <v>2.3667539188785901E-3</v>
      </c>
      <c r="AV108" s="13">
        <v>2.1069265067419599E-3</v>
      </c>
      <c r="AW108" s="13">
        <v>2.07555423478958E-3</v>
      </c>
      <c r="AX108" s="13">
        <v>2.0671145609864701E-3</v>
      </c>
      <c r="AY108" s="13">
        <v>2.2654785938752602E-3</v>
      </c>
      <c r="AZ108" s="13">
        <v>2.1696946532907099E-3</v>
      </c>
      <c r="BA108" s="13">
        <v>2.36112169442466E-3</v>
      </c>
      <c r="BB108" s="13">
        <v>1.9662617566404E-3</v>
      </c>
      <c r="BC108" s="13">
        <v>2.3549405172065799E-3</v>
      </c>
      <c r="BD108" s="13">
        <v>2.3309466146720298E-3</v>
      </c>
      <c r="BE108" s="8">
        <v>4.9410530000000001</v>
      </c>
      <c r="BF108" s="8">
        <v>5.6617569999999997</v>
      </c>
      <c r="BG108" s="8">
        <v>5.5046150000000003</v>
      </c>
      <c r="BH108" s="8">
        <v>5.2559259999999997</v>
      </c>
      <c r="BI108" s="8">
        <v>5.2559089999999999</v>
      </c>
      <c r="BJ108" s="8">
        <v>5.9918969999999998</v>
      </c>
      <c r="BK108" s="8">
        <v>6.0660660000000002</v>
      </c>
      <c r="BL108" s="8">
        <v>5.2152500000000002</v>
      </c>
      <c r="BM108" s="8">
        <v>5.4769230000000002</v>
      </c>
      <c r="BN108" s="8">
        <v>5.3346660000000004</v>
      </c>
      <c r="BO108" s="8">
        <v>6.0849409999999997</v>
      </c>
      <c r="BP108" s="8">
        <v>6.1354740000000003</v>
      </c>
      <c r="BQ108" s="8">
        <v>5.42</v>
      </c>
      <c r="BR108" s="8">
        <v>5.4009999999999998</v>
      </c>
      <c r="BS108" s="8">
        <v>5.1648569999999996</v>
      </c>
      <c r="BT108" s="8">
        <v>5.3541999999999996</v>
      </c>
      <c r="BU108" s="8">
        <v>6.1634820000000001</v>
      </c>
    </row>
    <row r="109" spans="1:73" x14ac:dyDescent="0.25">
      <c r="A109" s="9" t="s">
        <v>284</v>
      </c>
      <c r="B109" s="5" t="s">
        <v>285</v>
      </c>
      <c r="C109" s="3">
        <v>0.42902513390382202</v>
      </c>
      <c r="D109" s="3">
        <v>2.4824987162929298E-2</v>
      </c>
      <c r="E109" s="10">
        <v>2.7294110766457212E-3</v>
      </c>
      <c r="F109" s="2">
        <v>4.2421998784336109E-3</v>
      </c>
      <c r="G109" s="2">
        <v>7.0750000000000002</v>
      </c>
      <c r="H109" s="5">
        <v>6.3235031000885797</v>
      </c>
      <c r="I109" s="2">
        <f t="shared" si="1"/>
        <v>0.75149689991142044</v>
      </c>
      <c r="J109">
        <v>2</v>
      </c>
      <c r="K109">
        <v>3</v>
      </c>
      <c r="L109" s="5">
        <v>0.11522699126953399</v>
      </c>
      <c r="M109" s="5">
        <v>0.10080908268330099</v>
      </c>
      <c r="N109" s="6">
        <v>9.9197410925915506</v>
      </c>
      <c r="O109" s="3">
        <v>5.8976209842815699</v>
      </c>
      <c r="P109" s="3" t="s">
        <v>75</v>
      </c>
      <c r="Q109" s="3">
        <v>0.42902513390382202</v>
      </c>
      <c r="R109" s="3">
        <v>0</v>
      </c>
      <c r="S109" s="3">
        <v>0</v>
      </c>
      <c r="T109" s="3">
        <v>0</v>
      </c>
      <c r="U109">
        <v>0</v>
      </c>
      <c r="V109" s="3">
        <f>G109+U109</f>
        <v>7.0750000000000002</v>
      </c>
      <c r="W109" s="7">
        <v>9.5500000000000007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9.1</v>
      </c>
      <c r="AE109" s="7">
        <v>4.1500000000000004</v>
      </c>
      <c r="AF109" s="7">
        <v>6.625</v>
      </c>
      <c r="AG109" s="7">
        <v>9.5500000000000007</v>
      </c>
      <c r="AH109" s="7">
        <v>6.04</v>
      </c>
      <c r="AI109" s="7">
        <v>0</v>
      </c>
      <c r="AJ109" s="7">
        <v>8.35</v>
      </c>
      <c r="AK109" s="7">
        <v>9.1</v>
      </c>
      <c r="AL109" s="7">
        <v>5.65</v>
      </c>
      <c r="AM109" s="7">
        <v>6.4</v>
      </c>
      <c r="AN109" s="13">
        <v>6.8310764537493403E-3</v>
      </c>
      <c r="AO109" s="13">
        <v>2.7613460062293699E-3</v>
      </c>
      <c r="AP109" s="13">
        <v>2.9909412118862299E-3</v>
      </c>
      <c r="AQ109" s="13">
        <v>2.8986246540565201E-3</v>
      </c>
      <c r="AR109" s="13">
        <v>2.8167019693071099E-3</v>
      </c>
      <c r="AS109" s="13">
        <v>2.5560649598727102E-3</v>
      </c>
      <c r="AT109" s="13">
        <v>2.2837953197247102E-3</v>
      </c>
      <c r="AU109" s="13">
        <v>2.4951105942094499E-3</v>
      </c>
      <c r="AV109" s="13">
        <v>2.22119190603619E-3</v>
      </c>
      <c r="AW109" s="13">
        <v>2.1881182148981199E-3</v>
      </c>
      <c r="AX109" s="13">
        <v>2.1792208304468501E-3</v>
      </c>
      <c r="AY109" s="13">
        <v>2.3883427826798202E-3</v>
      </c>
      <c r="AZ109" s="13">
        <v>2.2873641710035898E-3</v>
      </c>
      <c r="BA109" s="13">
        <v>2.4891729161129299E-3</v>
      </c>
      <c r="BB109" s="13">
        <v>2.0728984542283599E-3</v>
      </c>
      <c r="BC109" s="13">
        <v>2.4826565137786999E-3</v>
      </c>
      <c r="BD109" s="13">
        <v>2.4573613447571802E-3</v>
      </c>
      <c r="BE109" s="8">
        <v>6.3713639999999998</v>
      </c>
      <c r="BF109" s="8">
        <v>6.5115220000000003</v>
      </c>
      <c r="BG109" s="8">
        <v>6.7400820000000001</v>
      </c>
      <c r="BH109" s="8">
        <v>6.9105169999999996</v>
      </c>
      <c r="BI109" s="8">
        <v>6.3460000000000001</v>
      </c>
      <c r="BJ109" s="8">
        <v>6.4606519999999996</v>
      </c>
      <c r="BK109" s="8">
        <v>6.1642859999999997</v>
      </c>
      <c r="BL109" s="8">
        <v>6.0052479999999999</v>
      </c>
      <c r="BM109" s="8">
        <v>6.0509620000000002</v>
      </c>
      <c r="BN109" s="8">
        <v>6.2743159999999998</v>
      </c>
      <c r="BO109" s="8">
        <v>6.3918629999999999</v>
      </c>
      <c r="BP109" s="8">
        <v>6.1777170000000003</v>
      </c>
      <c r="BQ109" s="8">
        <v>5.8981250000000003</v>
      </c>
      <c r="BR109" s="8">
        <v>6.7270269999999996</v>
      </c>
      <c r="BS109" s="8">
        <v>6.990488</v>
      </c>
      <c r="BT109" s="8">
        <v>5.5304840000000004</v>
      </c>
      <c r="BU109" s="8">
        <v>7.396585</v>
      </c>
    </row>
    <row r="110" spans="1:73" x14ac:dyDescent="0.25">
      <c r="A110" s="9" t="s">
        <v>286</v>
      </c>
      <c r="B110" s="5" t="s">
        <v>287</v>
      </c>
      <c r="C110" s="3">
        <v>0.42243310238443399</v>
      </c>
      <c r="D110" s="3">
        <v>8.8300554365846703E-2</v>
      </c>
      <c r="E110" s="10">
        <v>2.687473291595932E-3</v>
      </c>
      <c r="F110" s="2">
        <v>5.9177490662195122E-4</v>
      </c>
      <c r="G110" s="2">
        <v>6.7374999999999998</v>
      </c>
      <c r="H110" s="5">
        <v>6.2013461538461501</v>
      </c>
      <c r="I110" s="2">
        <f t="shared" si="1"/>
        <v>0.53615384615384976</v>
      </c>
      <c r="J110">
        <v>2</v>
      </c>
      <c r="K110">
        <v>3</v>
      </c>
      <c r="L110" s="5">
        <v>0.209529620083621</v>
      </c>
      <c r="M110" s="5">
        <v>0.20408900998579901</v>
      </c>
      <c r="N110" s="6">
        <v>4.8998228766437899</v>
      </c>
      <c r="O110" s="3">
        <v>5.5</v>
      </c>
      <c r="P110" s="3" t="s">
        <v>105</v>
      </c>
      <c r="Q110" s="3">
        <v>65.803537613114898</v>
      </c>
      <c r="R110" s="3">
        <v>6.5238184479255697E-3</v>
      </c>
      <c r="S110" s="3">
        <v>0</v>
      </c>
      <c r="T110" s="3">
        <v>1.1712442506561701E-2</v>
      </c>
      <c r="U110">
        <v>3.2625000000000002</v>
      </c>
      <c r="V110" s="3">
        <f>G110+U110</f>
        <v>10</v>
      </c>
      <c r="W110" s="7">
        <v>6.4</v>
      </c>
      <c r="X110" s="7">
        <v>0</v>
      </c>
      <c r="Y110" s="7">
        <v>0</v>
      </c>
      <c r="Z110" s="7">
        <v>0</v>
      </c>
      <c r="AA110" s="7">
        <v>0</v>
      </c>
      <c r="AB110" s="7">
        <v>5.5</v>
      </c>
      <c r="AC110" s="7">
        <v>0</v>
      </c>
      <c r="AD110" s="7">
        <v>5.5</v>
      </c>
      <c r="AE110" s="7">
        <v>9.5500000000000007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13">
        <v>6.7261160033330299E-3</v>
      </c>
      <c r="AO110" s="13">
        <v>2.71891753649528E-3</v>
      </c>
      <c r="AP110" s="13">
        <v>2.9449849795275601E-3</v>
      </c>
      <c r="AQ110" s="13">
        <v>2.8540868785920698E-3</v>
      </c>
      <c r="AR110" s="13">
        <v>2.7734229474152198E-3</v>
      </c>
      <c r="AS110" s="13">
        <v>2.5167906622860698E-3</v>
      </c>
      <c r="AT110" s="13">
        <v>2.2487044834502302E-3</v>
      </c>
      <c r="AU110" s="13">
        <v>2.4567728690236901E-3</v>
      </c>
      <c r="AV110" s="13">
        <v>2.1870629800174101E-3</v>
      </c>
      <c r="AW110" s="13">
        <v>2.15449747079508E-3</v>
      </c>
      <c r="AX110" s="13">
        <v>2.14573679590721E-3</v>
      </c>
      <c r="AY110" s="13">
        <v>2.3516455599337598E-3</v>
      </c>
      <c r="AZ110" s="13">
        <v>2.2522184988273001E-3</v>
      </c>
      <c r="BA110" s="13">
        <v>2.4509264241861801E-3</v>
      </c>
      <c r="BB110" s="13">
        <v>2.04104807795221E-3</v>
      </c>
      <c r="BC110" s="13">
        <v>2.4445101472902698E-3</v>
      </c>
      <c r="BD110" s="13">
        <v>2.4196036420982099E-3</v>
      </c>
      <c r="BE110" s="8">
        <v>7.75</v>
      </c>
      <c r="BF110" s="8">
        <v>6.9625000000000004</v>
      </c>
      <c r="BG110" s="8">
        <v>4.5549999999999997</v>
      </c>
      <c r="BH110" s="8">
        <v>0</v>
      </c>
      <c r="BI110" s="8">
        <v>5.5</v>
      </c>
      <c r="BJ110" s="8">
        <v>6.4637500000000001</v>
      </c>
      <c r="BK110" s="8">
        <v>6.3481249999999996</v>
      </c>
      <c r="BL110" s="8">
        <v>6.0475000000000003</v>
      </c>
      <c r="BM110" s="8">
        <v>8.0987500000000008</v>
      </c>
      <c r="BN110" s="8">
        <v>5.7454549999999998</v>
      </c>
      <c r="BO110" s="8">
        <v>6.085</v>
      </c>
      <c r="BP110" s="8">
        <v>6.5125000000000002</v>
      </c>
      <c r="BQ110" s="8">
        <v>5.3650000000000002</v>
      </c>
      <c r="BR110" s="8">
        <v>4.2625000000000002</v>
      </c>
      <c r="BS110" s="8">
        <v>6.85</v>
      </c>
      <c r="BT110" s="8">
        <v>5.8375000000000004</v>
      </c>
      <c r="BU110" s="8">
        <v>7.5250000000000004</v>
      </c>
    </row>
    <row r="111" spans="1:73" x14ac:dyDescent="0.25">
      <c r="A111" s="9" t="s">
        <v>288</v>
      </c>
      <c r="B111" s="5" t="s">
        <v>289</v>
      </c>
      <c r="C111" s="3">
        <v>0.56538442589544102</v>
      </c>
      <c r="D111" s="3">
        <v>1.3822443660286E-2</v>
      </c>
      <c r="E111" s="10">
        <v>3.596914009583277E-3</v>
      </c>
      <c r="F111" s="2">
        <v>5.6702138565018934E-2</v>
      </c>
      <c r="G111" s="2">
        <v>8.5907817460318103</v>
      </c>
      <c r="H111" s="5">
        <v>8.6372755214050496</v>
      </c>
      <c r="I111" s="2">
        <f t="shared" si="1"/>
        <v>-4.6493775373239288E-2</v>
      </c>
      <c r="J111">
        <v>4</v>
      </c>
      <c r="K111">
        <v>1</v>
      </c>
      <c r="L111" s="5">
        <v>1.3522970557756E-2</v>
      </c>
      <c r="M111" s="5">
        <v>5.6701146603910998E-2</v>
      </c>
      <c r="N111" s="6">
        <v>17.636327656397398</v>
      </c>
      <c r="O111" s="3">
        <v>7.3200180997808699</v>
      </c>
      <c r="P111" s="3" t="s">
        <v>75</v>
      </c>
      <c r="Q111" s="3">
        <v>0.56538442589544102</v>
      </c>
      <c r="R111" s="3">
        <v>0</v>
      </c>
      <c r="S111" s="3">
        <v>0</v>
      </c>
      <c r="T111" s="3">
        <v>0</v>
      </c>
      <c r="U111">
        <v>0</v>
      </c>
      <c r="V111" s="3">
        <f>G111+U111</f>
        <v>8.5907817460318103</v>
      </c>
      <c r="W111" s="7">
        <v>9.0569570000000006</v>
      </c>
      <c r="X111" s="7">
        <v>8.5359759999999998</v>
      </c>
      <c r="Y111" s="7">
        <v>8.8080770000000008</v>
      </c>
      <c r="Z111" s="7">
        <v>8.9716670000000001</v>
      </c>
      <c r="AA111" s="7">
        <v>7.1778570000000004</v>
      </c>
      <c r="AB111" s="7">
        <v>8.7986959999999996</v>
      </c>
      <c r="AC111" s="7">
        <v>8.0970119999999994</v>
      </c>
      <c r="AD111" s="7">
        <v>8.865164</v>
      </c>
      <c r="AE111" s="7">
        <v>8.7684999999999995</v>
      </c>
      <c r="AF111" s="7">
        <v>8.671951</v>
      </c>
      <c r="AG111" s="7">
        <v>8.7956730000000007</v>
      </c>
      <c r="AH111" s="7">
        <v>8.3093749999999993</v>
      </c>
      <c r="AI111" s="7">
        <v>8.7540630000000004</v>
      </c>
      <c r="AJ111" s="7">
        <v>8.5452340000000007</v>
      </c>
      <c r="AK111" s="7">
        <v>8.4526789999999998</v>
      </c>
      <c r="AL111" s="7">
        <v>8.2105879999999996</v>
      </c>
      <c r="AM111" s="7">
        <v>8.3744350000000001</v>
      </c>
      <c r="AN111" s="13">
        <v>9.0022330484646005E-3</v>
      </c>
      <c r="AO111" s="13">
        <v>3.6389989841030001E-3</v>
      </c>
      <c r="AP111" s="13">
        <v>3.9415676293417402E-3</v>
      </c>
      <c r="AQ111" s="13">
        <v>3.8199096192986898E-3</v>
      </c>
      <c r="AR111" s="13">
        <v>3.7119490211318701E-3</v>
      </c>
      <c r="AS111" s="13">
        <v>3.3684723940044501E-3</v>
      </c>
      <c r="AT111" s="13">
        <v>3.00966587657943E-3</v>
      </c>
      <c r="AU111" s="13">
        <v>3.2881445849486999E-3</v>
      </c>
      <c r="AV111" s="13">
        <v>2.9271648939789099E-3</v>
      </c>
      <c r="AW111" s="13">
        <v>2.8835792193910698E-3</v>
      </c>
      <c r="AX111" s="13">
        <v>2.8718539329161798E-3</v>
      </c>
      <c r="AY111" s="13">
        <v>3.14744220400306E-3</v>
      </c>
      <c r="AZ111" s="13">
        <v>3.0143690344411902E-3</v>
      </c>
      <c r="BA111" s="13">
        <v>3.28031970370874E-3</v>
      </c>
      <c r="BB111" s="13">
        <v>2.7317385623057298E-3</v>
      </c>
      <c r="BC111" s="13">
        <v>3.27173215929354E-3</v>
      </c>
      <c r="BD111" s="13">
        <v>3.2383972950047399E-3</v>
      </c>
      <c r="BE111" s="8">
        <v>8.8821349999999999</v>
      </c>
      <c r="BF111" s="8">
        <v>8.8208260000000003</v>
      </c>
      <c r="BG111" s="8">
        <v>8.8397889999999997</v>
      </c>
      <c r="BH111" s="8">
        <v>8.9035299999999999</v>
      </c>
      <c r="BI111" s="8">
        <v>8.6712299999999995</v>
      </c>
      <c r="BJ111" s="8">
        <v>8.5641320000000007</v>
      </c>
      <c r="BK111" s="8">
        <v>8.5708420000000007</v>
      </c>
      <c r="BL111" s="8">
        <v>8.6835939999999994</v>
      </c>
      <c r="BM111" s="8">
        <v>8.4772940000000006</v>
      </c>
      <c r="BN111" s="8">
        <v>8.5352519999999998</v>
      </c>
      <c r="BO111" s="8">
        <v>8.6876350000000002</v>
      </c>
      <c r="BP111" s="8">
        <v>8.5767480000000003</v>
      </c>
      <c r="BQ111" s="8">
        <v>8.5548380000000002</v>
      </c>
      <c r="BR111" s="8">
        <v>8.5716619999999999</v>
      </c>
      <c r="BS111" s="8">
        <v>8.6296110000000006</v>
      </c>
      <c r="BT111" s="8">
        <v>8.5455159999999992</v>
      </c>
      <c r="BU111" s="8">
        <v>8.5242459999999998</v>
      </c>
    </row>
    <row r="112" spans="1:73" x14ac:dyDescent="0.25">
      <c r="A112" s="9" t="s">
        <v>290</v>
      </c>
      <c r="B112" s="5" t="s">
        <v>291</v>
      </c>
      <c r="C112" s="3">
        <v>0.32199021381902199</v>
      </c>
      <c r="D112" s="3">
        <v>2.9824261886205398E-2</v>
      </c>
      <c r="E112" s="10">
        <v>2.0484665972184748E-3</v>
      </c>
      <c r="F112" s="2">
        <v>1.7146521320576197E-3</v>
      </c>
      <c r="G112" s="2">
        <v>5.1803448275862101</v>
      </c>
      <c r="H112" s="5">
        <v>4.8374032586558204</v>
      </c>
      <c r="I112" s="2">
        <f t="shared" si="1"/>
        <v>0.34294156893038963</v>
      </c>
      <c r="J112">
        <v>6</v>
      </c>
      <c r="K112">
        <v>4</v>
      </c>
      <c r="L112" s="5">
        <v>0.25704066198380798</v>
      </c>
      <c r="M112" s="5">
        <v>7.3813829107552298E-2</v>
      </c>
      <c r="N112" s="6">
        <v>13.5475968675589</v>
      </c>
      <c r="O112" s="3">
        <v>6.4579873767374503</v>
      </c>
      <c r="P112" s="3" t="s">
        <v>75</v>
      </c>
      <c r="Q112" s="3">
        <v>0.32199021381902199</v>
      </c>
      <c r="R112" s="3">
        <v>0</v>
      </c>
      <c r="S112" s="3">
        <v>0</v>
      </c>
      <c r="T112" s="3">
        <v>0</v>
      </c>
      <c r="U112">
        <v>0</v>
      </c>
      <c r="V112" s="3">
        <f>G112+U112</f>
        <v>5.1803448275862101</v>
      </c>
      <c r="W112" s="7">
        <v>6.4</v>
      </c>
      <c r="X112" s="7">
        <v>6.4</v>
      </c>
      <c r="Y112" s="7">
        <v>8.7249999999999996</v>
      </c>
      <c r="Z112" s="7">
        <v>6.1749999999999998</v>
      </c>
      <c r="AA112" s="7">
        <v>0</v>
      </c>
      <c r="AB112" s="7">
        <v>2.5750000000000002</v>
      </c>
      <c r="AC112" s="7">
        <v>4.915</v>
      </c>
      <c r="AD112" s="7">
        <v>4.5549999999999997</v>
      </c>
      <c r="AE112" s="7">
        <v>0</v>
      </c>
      <c r="AF112" s="7">
        <v>7.3</v>
      </c>
      <c r="AG112" s="7">
        <v>0</v>
      </c>
      <c r="AH112" s="7">
        <v>4.5999999999999996</v>
      </c>
      <c r="AI112" s="7">
        <v>4.8250000000000002</v>
      </c>
      <c r="AJ112" s="7">
        <v>4.1500000000000004</v>
      </c>
      <c r="AK112" s="7">
        <v>2.35</v>
      </c>
      <c r="AL112" s="7">
        <v>3.61</v>
      </c>
      <c r="AM112" s="7">
        <v>0</v>
      </c>
      <c r="AN112" s="13">
        <v>5.1268319595698204E-3</v>
      </c>
      <c r="AO112" s="13">
        <v>2.0724342718191902E-3</v>
      </c>
      <c r="AP112" s="13">
        <v>2.2447491399216401E-3</v>
      </c>
      <c r="AQ112" s="13">
        <v>2.1754640891271898E-3</v>
      </c>
      <c r="AR112" s="13">
        <v>2.1139798060525201E-3</v>
      </c>
      <c r="AS112" s="13">
        <v>1.9183675685285799E-3</v>
      </c>
      <c r="AT112" s="13">
        <v>1.71402485590015E-3</v>
      </c>
      <c r="AU112" s="13">
        <v>1.87262034375755E-3</v>
      </c>
      <c r="AV112" s="13">
        <v>1.66703999425359E-3</v>
      </c>
      <c r="AW112" s="13">
        <v>1.64221766092214E-3</v>
      </c>
      <c r="AX112" s="13">
        <v>1.6355400318149001E-3</v>
      </c>
      <c r="AY112" s="13">
        <v>1.79248939629861E-3</v>
      </c>
      <c r="AZ112" s="13">
        <v>1.71670333577362E-3</v>
      </c>
      <c r="BA112" s="13">
        <v>1.8681640215311901E-3</v>
      </c>
      <c r="BB112" s="13">
        <v>1.5557433906698301E-3</v>
      </c>
      <c r="BC112" s="13">
        <v>1.8632733575231499E-3</v>
      </c>
      <c r="BD112" s="13">
        <v>1.84428892925034E-3</v>
      </c>
      <c r="BE112" s="8">
        <v>4.84</v>
      </c>
      <c r="BF112" s="8">
        <v>4.6805709999999996</v>
      </c>
      <c r="BG112" s="8">
        <v>5.0279590000000001</v>
      </c>
      <c r="BH112" s="8">
        <v>4.7104549999999996</v>
      </c>
      <c r="BI112" s="8">
        <v>4.2120689999999996</v>
      </c>
      <c r="BJ112" s="8">
        <v>4.9472129999999996</v>
      </c>
      <c r="BK112" s="8">
        <v>5.0956590000000004</v>
      </c>
      <c r="BL112" s="8">
        <v>4.7558059999999998</v>
      </c>
      <c r="BM112" s="8">
        <v>4.8395830000000002</v>
      </c>
      <c r="BN112" s="8">
        <v>5.1651850000000001</v>
      </c>
      <c r="BO112" s="8">
        <v>4.5709410000000004</v>
      </c>
      <c r="BP112" s="8">
        <v>5.1531250000000002</v>
      </c>
      <c r="BQ112" s="8">
        <v>4.7329309999999998</v>
      </c>
      <c r="BR112" s="8">
        <v>4.4719230000000003</v>
      </c>
      <c r="BS112" s="8">
        <v>4.2781820000000002</v>
      </c>
      <c r="BT112" s="8">
        <v>4.3212200000000003</v>
      </c>
      <c r="BU112" s="8">
        <v>4.7435140000000002</v>
      </c>
    </row>
    <row r="113" spans="1:73" x14ac:dyDescent="0.25">
      <c r="A113" s="9" t="s">
        <v>292</v>
      </c>
      <c r="B113" s="5" t="s">
        <v>293</v>
      </c>
      <c r="C113" s="3">
        <v>0.20340613931683399</v>
      </c>
      <c r="D113" s="3">
        <v>6.7666482134498898E-2</v>
      </c>
      <c r="E113" s="10">
        <v>1.2940476579014789E-3</v>
      </c>
      <c r="F113" s="2">
        <v>6.8713176845989772E-4</v>
      </c>
      <c r="G113" s="2">
        <v>4.7687499999999998</v>
      </c>
      <c r="H113" s="5">
        <v>4.91785714285714</v>
      </c>
      <c r="I113" s="2">
        <f t="shared" si="1"/>
        <v>-0.14910714285714022</v>
      </c>
      <c r="J113">
        <v>7</v>
      </c>
      <c r="K113">
        <v>4</v>
      </c>
      <c r="L113" s="5">
        <v>0.36555899643011203</v>
      </c>
      <c r="M113" s="5">
        <v>0.19541851674533001</v>
      </c>
      <c r="N113" s="6">
        <v>5.1172223423597201</v>
      </c>
      <c r="O113" s="3">
        <v>3.7</v>
      </c>
      <c r="P113" s="3" t="s">
        <v>105</v>
      </c>
      <c r="Q113" s="3">
        <v>13.441474164109399</v>
      </c>
      <c r="R113" s="3">
        <v>1.4813328302545101E-2</v>
      </c>
      <c r="S113" s="3">
        <v>0</v>
      </c>
      <c r="T113" s="3">
        <v>3.8093836803457598E-2</v>
      </c>
      <c r="U113">
        <v>0</v>
      </c>
      <c r="V113" s="3">
        <f>G113+U113</f>
        <v>4.7687499999999998</v>
      </c>
      <c r="W113" s="7">
        <v>0</v>
      </c>
      <c r="X113" s="7">
        <v>4.1500000000000004</v>
      </c>
      <c r="Y113" s="7">
        <v>0</v>
      </c>
      <c r="Z113" s="7">
        <v>2.8</v>
      </c>
      <c r="AA113" s="7">
        <v>7.75</v>
      </c>
      <c r="AB113" s="7">
        <v>0</v>
      </c>
      <c r="AC113" s="7">
        <v>0</v>
      </c>
      <c r="AD113" s="7">
        <v>0</v>
      </c>
      <c r="AE113" s="7">
        <v>0</v>
      </c>
      <c r="AF113" s="7">
        <v>6.4</v>
      </c>
      <c r="AG113" s="7">
        <v>1.9</v>
      </c>
      <c r="AH113" s="7">
        <v>5.5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13">
        <v>3.23869810654677E-3</v>
      </c>
      <c r="AO113" s="13">
        <v>1.30918840426488E-3</v>
      </c>
      <c r="AP113" s="13">
        <v>1.4180423400783201E-3</v>
      </c>
      <c r="AQ113" s="13">
        <v>1.37427391454974E-3</v>
      </c>
      <c r="AR113" s="13">
        <v>1.33543335321544E-3</v>
      </c>
      <c r="AS113" s="13">
        <v>1.2118621130651501E-3</v>
      </c>
      <c r="AT113" s="13">
        <v>1.08277569835616E-3</v>
      </c>
      <c r="AU113" s="13">
        <v>1.1829628919839701E-3</v>
      </c>
      <c r="AV113" s="13">
        <v>1.0530946431448599E-3</v>
      </c>
      <c r="AW113" s="13">
        <v>1.0374139957987801E-3</v>
      </c>
      <c r="AX113" s="13">
        <v>1.03319563543191E-3</v>
      </c>
      <c r="AY113" s="13">
        <v>1.13234294776546E-3</v>
      </c>
      <c r="AZ113" s="13">
        <v>1.0844677350297001E-3</v>
      </c>
      <c r="BA113" s="13">
        <v>1.18014776512385E-3</v>
      </c>
      <c r="BB113" s="13">
        <v>9.8278687762136299E-4</v>
      </c>
      <c r="BC113" s="13">
        <v>1.1770582579218401E-3</v>
      </c>
      <c r="BD113" s="13">
        <v>1.16506550442691E-3</v>
      </c>
      <c r="BE113" s="8">
        <v>4.5774999999999997</v>
      </c>
      <c r="BF113" s="8">
        <v>6.1749999999999998</v>
      </c>
      <c r="BG113" s="8">
        <v>5.6323530000000002</v>
      </c>
      <c r="BH113" s="8">
        <v>4.4649999999999999</v>
      </c>
      <c r="BI113" s="8">
        <v>5.0635000000000003</v>
      </c>
      <c r="BJ113" s="8">
        <v>4.87</v>
      </c>
      <c r="BK113" s="8">
        <v>4.6630000000000003</v>
      </c>
      <c r="BL113" s="8">
        <v>4.1984620000000001</v>
      </c>
      <c r="BM113" s="8">
        <v>4.4379999999999997</v>
      </c>
      <c r="BN113" s="8">
        <v>5.1174999999999997</v>
      </c>
      <c r="BO113" s="8">
        <v>4.3075000000000001</v>
      </c>
      <c r="BP113" s="8">
        <v>5.0165709999999999</v>
      </c>
      <c r="BQ113" s="8">
        <v>4.4671430000000001</v>
      </c>
      <c r="BR113" s="8">
        <v>6.5575000000000001</v>
      </c>
      <c r="BS113" s="8">
        <v>4.9559090000000001</v>
      </c>
      <c r="BT113" s="8">
        <v>6.76</v>
      </c>
      <c r="BU113" s="8">
        <v>5.23</v>
      </c>
    </row>
    <row r="114" spans="1:73" x14ac:dyDescent="0.25">
      <c r="A114" s="9" t="s">
        <v>294</v>
      </c>
      <c r="B114" s="5" t="s">
        <v>295</v>
      </c>
      <c r="C114" s="3">
        <v>0.22109340753894399</v>
      </c>
      <c r="D114" s="3">
        <v>4.47810587940232E-2</v>
      </c>
      <c r="E114" s="10">
        <v>1.406572127882423E-3</v>
      </c>
      <c r="F114" s="2">
        <v>2.0157930145585094E-3</v>
      </c>
      <c r="G114" s="2">
        <v>4.9079687500000002</v>
      </c>
      <c r="H114" s="5">
        <v>5.1639769820971901</v>
      </c>
      <c r="I114" s="2">
        <f t="shared" si="1"/>
        <v>-0.25600823209718993</v>
      </c>
      <c r="J114">
        <v>7</v>
      </c>
      <c r="K114">
        <v>4</v>
      </c>
      <c r="L114" s="5">
        <v>0.33079016200591199</v>
      </c>
      <c r="M114" s="5">
        <v>0.113033348198358</v>
      </c>
      <c r="N114" s="6">
        <v>8.8469466395451501</v>
      </c>
      <c r="O114" s="3">
        <v>6.5947695256461198</v>
      </c>
      <c r="P114" s="3" t="s">
        <v>75</v>
      </c>
      <c r="Q114" s="3">
        <v>0.22109340753894399</v>
      </c>
      <c r="R114" s="3">
        <v>0</v>
      </c>
      <c r="S114" s="3">
        <v>0</v>
      </c>
      <c r="T114" s="3">
        <v>0</v>
      </c>
      <c r="U114">
        <v>0</v>
      </c>
      <c r="V114" s="3">
        <f>G114+U114</f>
        <v>4.9079687500000002</v>
      </c>
      <c r="W114" s="7">
        <v>4.45</v>
      </c>
      <c r="X114" s="7">
        <v>0</v>
      </c>
      <c r="Y114" s="7">
        <v>3.7</v>
      </c>
      <c r="Z114" s="7">
        <v>3.7</v>
      </c>
      <c r="AA114" s="7">
        <v>5.5</v>
      </c>
      <c r="AB114" s="7">
        <v>8.0649999999999995</v>
      </c>
      <c r="AC114" s="7">
        <v>4.0149999999999997</v>
      </c>
      <c r="AD114" s="7">
        <v>4.7350000000000003</v>
      </c>
      <c r="AE114" s="7">
        <v>3.7</v>
      </c>
      <c r="AF114" s="7">
        <v>3.25</v>
      </c>
      <c r="AG114" s="7">
        <v>5.9859999999999998</v>
      </c>
      <c r="AH114" s="7">
        <v>0</v>
      </c>
      <c r="AI114" s="7">
        <v>3.7</v>
      </c>
      <c r="AJ114" s="7">
        <v>6.4</v>
      </c>
      <c r="AK114" s="7">
        <v>6.4</v>
      </c>
      <c r="AL114" s="7">
        <v>5.3650000000000002</v>
      </c>
      <c r="AM114" s="7">
        <v>5.5</v>
      </c>
      <c r="AN114" s="13">
        <v>3.5203204916592701E-3</v>
      </c>
      <c r="AO114" s="13">
        <v>1.4230294443499201E-3</v>
      </c>
      <c r="AP114" s="13">
        <v>1.54134882091273E-3</v>
      </c>
      <c r="AQ114" s="13">
        <v>1.4937744931405701E-3</v>
      </c>
      <c r="AR114" s="13">
        <v>1.4515565341105901E-3</v>
      </c>
      <c r="AS114" s="13">
        <v>1.3172401036901499E-3</v>
      </c>
      <c r="AT114" s="13">
        <v>1.1769289243380801E-3</v>
      </c>
      <c r="AU114" s="13">
        <v>1.28582793842552E-3</v>
      </c>
      <c r="AV114" s="13">
        <v>1.1446669402206901E-3</v>
      </c>
      <c r="AW114" s="13">
        <v>1.12762277544865E-3</v>
      </c>
      <c r="AX114" s="13">
        <v>1.12303760574399E-3</v>
      </c>
      <c r="AY114" s="13">
        <v>1.23080631521253E-3</v>
      </c>
      <c r="AZ114" s="13">
        <v>1.1787680927874201E-3</v>
      </c>
      <c r="BA114" s="13">
        <v>1.2827680209999801E-3</v>
      </c>
      <c r="BB114" s="13">
        <v>1.0682455327437701E-3</v>
      </c>
      <c r="BC114" s="13">
        <v>1.2794098643720501E-3</v>
      </c>
      <c r="BD114" s="13">
        <v>1.26637427584521E-3</v>
      </c>
      <c r="BE114" s="8">
        <v>5.6574999999999998</v>
      </c>
      <c r="BF114" s="8">
        <v>4.8049999999999997</v>
      </c>
      <c r="BG114" s="8">
        <v>5.14</v>
      </c>
      <c r="BH114" s="8">
        <v>4.2456250000000004</v>
      </c>
      <c r="BI114" s="8">
        <v>4.7687499999999998</v>
      </c>
      <c r="BJ114" s="8">
        <v>5.0434780000000003</v>
      </c>
      <c r="BK114" s="8">
        <v>5.1636899999999999</v>
      </c>
      <c r="BL114" s="8">
        <v>4.7433709999999998</v>
      </c>
      <c r="BM114" s="8">
        <v>5.0839340000000002</v>
      </c>
      <c r="BN114" s="8">
        <v>5.3764000000000003</v>
      </c>
      <c r="BO114" s="8">
        <v>5.1690709999999997</v>
      </c>
      <c r="BP114" s="8">
        <v>4.9625779999999997</v>
      </c>
      <c r="BQ114" s="8">
        <v>6.0507140000000001</v>
      </c>
      <c r="BR114" s="8">
        <v>5.1216670000000004</v>
      </c>
      <c r="BS114" s="8">
        <v>6.75</v>
      </c>
      <c r="BT114" s="8">
        <v>6.1412899999999997</v>
      </c>
      <c r="BU114" s="8">
        <v>5.2090909999999999</v>
      </c>
    </row>
    <row r="115" spans="1:73" x14ac:dyDescent="0.25">
      <c r="A115" s="9" t="s">
        <v>296</v>
      </c>
      <c r="B115" s="5" t="s">
        <v>297</v>
      </c>
      <c r="C115" s="3">
        <v>0.230381893607778</v>
      </c>
      <c r="D115" s="3">
        <v>3.7099318408712702E-2</v>
      </c>
      <c r="E115" s="10">
        <v>1.548276804592807E-3</v>
      </c>
      <c r="F115" s="2">
        <v>2.1366468063378379E-3</v>
      </c>
      <c r="G115" s="2">
        <v>7.48</v>
      </c>
      <c r="H115" s="5">
        <v>7.5207158351410204</v>
      </c>
      <c r="I115" s="2">
        <f t="shared" si="1"/>
        <v>-4.0715835141019951E-2</v>
      </c>
      <c r="J115">
        <v>7</v>
      </c>
      <c r="K115">
        <v>4</v>
      </c>
      <c r="L115" s="5">
        <v>0.21398753184774599</v>
      </c>
      <c r="M115" s="5">
        <v>0.14724462955527701</v>
      </c>
      <c r="N115" s="6">
        <v>6.7914191710780898</v>
      </c>
      <c r="O115" s="3">
        <v>9.5500000000000007</v>
      </c>
      <c r="P115" s="3" t="s">
        <v>105</v>
      </c>
      <c r="Q115" s="3">
        <v>32.113503710202501</v>
      </c>
      <c r="R115" s="3">
        <v>7.3319382730273703E-3</v>
      </c>
      <c r="S115" s="3">
        <v>0</v>
      </c>
      <c r="T115" s="3">
        <v>3.7403176829445502E-2</v>
      </c>
      <c r="U115">
        <v>0</v>
      </c>
      <c r="V115" s="3">
        <f>G115+U115</f>
        <v>7.48</v>
      </c>
      <c r="W115" s="7">
        <v>9.5500000000000007</v>
      </c>
      <c r="X115" s="7">
        <v>5.5</v>
      </c>
      <c r="Y115" s="7">
        <v>0</v>
      </c>
      <c r="Z115" s="7">
        <v>9.5500000000000007</v>
      </c>
      <c r="AA115" s="7">
        <v>9.5500000000000007</v>
      </c>
      <c r="AB115" s="7">
        <v>0</v>
      </c>
      <c r="AC115" s="7">
        <v>6.13</v>
      </c>
      <c r="AD115" s="7">
        <v>5.5</v>
      </c>
      <c r="AE115" s="7">
        <v>0</v>
      </c>
      <c r="AF115" s="7">
        <v>9.5500000000000007</v>
      </c>
      <c r="AG115" s="7">
        <v>6.13</v>
      </c>
      <c r="AH115" s="7">
        <v>9.5500000000000007</v>
      </c>
      <c r="AI115" s="7">
        <v>3.7</v>
      </c>
      <c r="AJ115" s="7">
        <v>6.13</v>
      </c>
      <c r="AK115" s="7">
        <v>0</v>
      </c>
      <c r="AL115" s="7">
        <v>0</v>
      </c>
      <c r="AM115" s="7">
        <v>9.5500000000000007</v>
      </c>
      <c r="AN115" s="13">
        <v>3.8749740976129999E-3</v>
      </c>
      <c r="AO115" s="13">
        <v>1.5663921083496201E-3</v>
      </c>
      <c r="AP115" s="13">
        <v>1.6966315341385299E-3</v>
      </c>
      <c r="AQ115" s="13">
        <v>1.6442643453370501E-3</v>
      </c>
      <c r="AR115" s="13">
        <v>1.5977931510003701E-3</v>
      </c>
      <c r="AS115" s="13">
        <v>1.44994505307968E-3</v>
      </c>
      <c r="AT115" s="13">
        <v>1.29549826708875E-3</v>
      </c>
      <c r="AU115" s="13">
        <v>1.41536827888007E-3</v>
      </c>
      <c r="AV115" s="13">
        <v>1.2599860592972501E-3</v>
      </c>
      <c r="AW115" s="13">
        <v>1.24122478538381E-3</v>
      </c>
      <c r="AX115" s="13">
        <v>1.2361776841665101E-3</v>
      </c>
      <c r="AY115" s="13">
        <v>1.3548035191475001E-3</v>
      </c>
      <c r="AZ115" s="13">
        <v>1.29752272199824E-3</v>
      </c>
      <c r="BA115" s="13">
        <v>1.4120000910139601E-3</v>
      </c>
      <c r="BB115" s="13">
        <v>1.1758656006123601E-3</v>
      </c>
      <c r="BC115" s="13">
        <v>1.4083036179286901E-3</v>
      </c>
      <c r="BD115" s="13">
        <v>1.3939547630422301E-3</v>
      </c>
      <c r="BE115" s="8">
        <v>7.93</v>
      </c>
      <c r="BF115" s="8">
        <v>7.328125</v>
      </c>
      <c r="BG115" s="8">
        <v>8.5807690000000001</v>
      </c>
      <c r="BH115" s="8">
        <v>7.0374999999999996</v>
      </c>
      <c r="BI115" s="8">
        <v>7.5250000000000004</v>
      </c>
      <c r="BJ115" s="8">
        <v>6.4426319999999997</v>
      </c>
      <c r="BK115" s="8">
        <v>7.3719999999999999</v>
      </c>
      <c r="BL115" s="8">
        <v>6.9752169999999998</v>
      </c>
      <c r="BM115" s="8">
        <v>7.5812499999999998</v>
      </c>
      <c r="BN115" s="8">
        <v>7.3424529999999999</v>
      </c>
      <c r="BO115" s="8">
        <v>7.7469999999999999</v>
      </c>
      <c r="BP115" s="8">
        <v>7.9868420000000002</v>
      </c>
      <c r="BQ115" s="8">
        <v>7.3253130000000004</v>
      </c>
      <c r="BR115" s="8">
        <v>7.4476000000000004</v>
      </c>
      <c r="BS115" s="8">
        <v>7.8562500000000002</v>
      </c>
      <c r="BT115" s="8">
        <v>8.0619999999999994</v>
      </c>
      <c r="BU115" s="8">
        <v>7.8250000000000002</v>
      </c>
    </row>
    <row r="116" spans="1:73" x14ac:dyDescent="0.25">
      <c r="A116" s="9" t="s">
        <v>298</v>
      </c>
      <c r="B116" s="5" t="s">
        <v>299</v>
      </c>
      <c r="C116" s="3">
        <v>0.35739232289675199</v>
      </c>
      <c r="D116" s="3">
        <v>2.43087684187045E-2</v>
      </c>
      <c r="E116" s="10">
        <v>3.0033609859444368E-3</v>
      </c>
      <c r="F116" s="2">
        <v>5.881745517115405E-3</v>
      </c>
      <c r="G116" s="2">
        <v>6.8838135593220402</v>
      </c>
      <c r="H116" s="5">
        <v>7.0729265684410301</v>
      </c>
      <c r="I116" s="2">
        <f t="shared" si="1"/>
        <v>-0.18911300911898987</v>
      </c>
      <c r="J116">
        <v>3</v>
      </c>
      <c r="K116">
        <v>2</v>
      </c>
      <c r="L116" s="5">
        <v>6.2163922309553303E-2</v>
      </c>
      <c r="M116" s="5">
        <v>6.6870486162100604E-2</v>
      </c>
      <c r="N116" s="6">
        <v>14.954280391739699</v>
      </c>
      <c r="O116" s="3">
        <v>7.0669431719529001</v>
      </c>
      <c r="P116" s="3" t="s">
        <v>75</v>
      </c>
      <c r="Q116" s="3">
        <v>0.35739232289675199</v>
      </c>
      <c r="R116" s="3">
        <v>0</v>
      </c>
      <c r="S116" s="3">
        <v>0</v>
      </c>
      <c r="T116" s="3">
        <v>0</v>
      </c>
      <c r="U116">
        <v>0</v>
      </c>
      <c r="V116" s="3">
        <f>G116+U116</f>
        <v>6.8838135593220402</v>
      </c>
      <c r="W116" s="7">
        <v>7.3</v>
      </c>
      <c r="X116" s="7">
        <v>9.5500000000000007</v>
      </c>
      <c r="Y116" s="7">
        <v>6.52</v>
      </c>
      <c r="Z116" s="7">
        <v>9.5500000000000007</v>
      </c>
      <c r="AA116" s="7">
        <v>0</v>
      </c>
      <c r="AB116" s="7">
        <v>7.18</v>
      </c>
      <c r="AC116" s="7">
        <v>5.5</v>
      </c>
      <c r="AD116" s="7">
        <v>7.6375000000000002</v>
      </c>
      <c r="AE116" s="7">
        <v>3.61</v>
      </c>
      <c r="AF116" s="7">
        <v>6.76</v>
      </c>
      <c r="AG116" s="7">
        <v>6.34</v>
      </c>
      <c r="AH116" s="7">
        <v>7.9675000000000002</v>
      </c>
      <c r="AI116" s="7">
        <v>8.9124999999999996</v>
      </c>
      <c r="AJ116" s="7">
        <v>7.327</v>
      </c>
      <c r="AK116" s="7">
        <v>4.5549999999999997</v>
      </c>
      <c r="AL116" s="7">
        <v>5.4279999999999999</v>
      </c>
      <c r="AM116" s="7">
        <v>4.5549999999999997</v>
      </c>
      <c r="AN116" s="13">
        <v>7.5167088932633803E-3</v>
      </c>
      <c r="AO116" s="13">
        <v>3.0385012117686398E-3</v>
      </c>
      <c r="AP116" s="13">
        <v>3.2911407973297601E-3</v>
      </c>
      <c r="AQ116" s="13">
        <v>3.1895584631351E-3</v>
      </c>
      <c r="AR116" s="13">
        <v>3.0994132309473E-3</v>
      </c>
      <c r="AS116" s="13">
        <v>2.8126161880516801E-3</v>
      </c>
      <c r="AT116" s="13">
        <v>2.5130189519026501E-3</v>
      </c>
      <c r="AU116" s="13">
        <v>2.7455438568361802E-3</v>
      </c>
      <c r="AV116" s="13">
        <v>2.4441320583643801E-3</v>
      </c>
      <c r="AW116" s="13">
        <v>2.4077387739393401E-3</v>
      </c>
      <c r="AX116" s="13">
        <v>2.3979483625328102E-3</v>
      </c>
      <c r="AY116" s="13">
        <v>2.6280598023284201E-3</v>
      </c>
      <c r="AZ116" s="13">
        <v>2.5169460073716202E-3</v>
      </c>
      <c r="BA116" s="13">
        <v>2.7390102163395999E-3</v>
      </c>
      <c r="BB116" s="13">
        <v>2.2809544515020202E-3</v>
      </c>
      <c r="BC116" s="13">
        <v>2.7318397652826799E-3</v>
      </c>
      <c r="BD116" s="13">
        <v>2.7040057301598E-3</v>
      </c>
      <c r="BE116" s="8">
        <v>7.3144640000000001</v>
      </c>
      <c r="BF116" s="8">
        <v>7.5328059999999999</v>
      </c>
      <c r="BG116" s="8">
        <v>7.4154999999999998</v>
      </c>
      <c r="BH116" s="8">
        <v>7.4076789999999999</v>
      </c>
      <c r="BI116" s="8">
        <v>7.1238570000000001</v>
      </c>
      <c r="BJ116" s="8">
        <v>7.3695830000000004</v>
      </c>
      <c r="BK116" s="8">
        <v>6.9199700000000002</v>
      </c>
      <c r="BL116" s="8">
        <v>7.0090859999999999</v>
      </c>
      <c r="BM116" s="8">
        <v>7.053299</v>
      </c>
      <c r="BN116" s="8">
        <v>7.1848650000000003</v>
      </c>
      <c r="BO116" s="8">
        <v>7.0519600000000002</v>
      </c>
      <c r="BP116" s="8">
        <v>6.9442719999999998</v>
      </c>
      <c r="BQ116" s="8">
        <v>7.0005790000000001</v>
      </c>
      <c r="BR116" s="8">
        <v>6.9473260000000003</v>
      </c>
      <c r="BS116" s="8">
        <v>6.9763640000000002</v>
      </c>
      <c r="BT116" s="8">
        <v>6.6411879999999996</v>
      </c>
      <c r="BU116" s="8">
        <v>6.9758990000000001</v>
      </c>
    </row>
    <row r="117" spans="1:73" x14ac:dyDescent="0.25">
      <c r="A117" s="9" t="s">
        <v>300</v>
      </c>
      <c r="B117" s="5" t="s">
        <v>301</v>
      </c>
      <c r="C117" s="3">
        <v>0.122589208119461</v>
      </c>
      <c r="D117" s="3">
        <v>1.9045015793852801E-2</v>
      </c>
      <c r="E117" s="10">
        <v>1.4592474713255191E-3</v>
      </c>
      <c r="F117" s="2">
        <v>1.7605401926683088E-2</v>
      </c>
      <c r="G117" s="2">
        <v>5.7099541284403603</v>
      </c>
      <c r="H117" s="5">
        <v>5.2943624728326899</v>
      </c>
      <c r="I117" s="2">
        <f t="shared" si="1"/>
        <v>0.41559165560767042</v>
      </c>
      <c r="J117">
        <v>5</v>
      </c>
      <c r="K117">
        <v>3</v>
      </c>
      <c r="L117" s="5">
        <v>0.12805668031567499</v>
      </c>
      <c r="M117" s="5">
        <v>6.9802711485953003E-2</v>
      </c>
      <c r="N117" s="6">
        <v>14.326091045922199</v>
      </c>
      <c r="O117" s="3">
        <v>6.4173193101869996</v>
      </c>
      <c r="P117" s="3" t="s">
        <v>78</v>
      </c>
      <c r="Q117" s="3">
        <v>17.200860483121101</v>
      </c>
      <c r="R117" s="3">
        <v>7.1085692506072003E-3</v>
      </c>
      <c r="S117" s="3">
        <v>0</v>
      </c>
      <c r="T117" s="3">
        <v>1.0374680732861401E-2</v>
      </c>
      <c r="U117">
        <v>0</v>
      </c>
      <c r="V117" s="3">
        <f>G117+U117</f>
        <v>5.7099541284403603</v>
      </c>
      <c r="W117" s="7">
        <v>5.6124999999999998</v>
      </c>
      <c r="X117" s="7">
        <v>5.65</v>
      </c>
      <c r="Y117" s="7">
        <v>6.3371430000000002</v>
      </c>
      <c r="Z117" s="7">
        <v>4.1500000000000004</v>
      </c>
      <c r="AA117" s="7">
        <v>4.4349999999999996</v>
      </c>
      <c r="AB117" s="7">
        <v>5.0425000000000004</v>
      </c>
      <c r="AC117" s="7">
        <v>3.58</v>
      </c>
      <c r="AD117" s="7">
        <v>7.3</v>
      </c>
      <c r="AE117" s="7">
        <v>5.7069999999999999</v>
      </c>
      <c r="AF117" s="7">
        <v>6.8125</v>
      </c>
      <c r="AG117" s="7">
        <v>6.2050000000000001</v>
      </c>
      <c r="AH117" s="7">
        <v>6.9249999999999998</v>
      </c>
      <c r="AI117" s="7">
        <v>4.1950000000000003</v>
      </c>
      <c r="AJ117" s="7">
        <v>5.5149999999999997</v>
      </c>
      <c r="AK117" s="7">
        <v>4</v>
      </c>
      <c r="AL117" s="7">
        <v>6.8949999999999996</v>
      </c>
      <c r="AM117" s="7">
        <v>5.3312499999999998</v>
      </c>
      <c r="AN117" s="13">
        <v>3.6521545350418098E-3</v>
      </c>
      <c r="AO117" s="13">
        <v>1.47632110513635E-3</v>
      </c>
      <c r="AP117" s="13">
        <v>1.59907147650767E-3</v>
      </c>
      <c r="AQ117" s="13">
        <v>1.5497155166351701E-3</v>
      </c>
      <c r="AR117" s="13">
        <v>1.50591651853347E-3</v>
      </c>
      <c r="AS117" s="13">
        <v>1.3665700125398E-3</v>
      </c>
      <c r="AT117" s="13">
        <v>1.2210042576030499E-3</v>
      </c>
      <c r="AU117" s="13">
        <v>1.3339814791666299E-3</v>
      </c>
      <c r="AV117" s="13">
        <v>1.18753408013399E-3</v>
      </c>
      <c r="AW117" s="13">
        <v>1.1698516208761801E-3</v>
      </c>
      <c r="AX117" s="13">
        <v>1.16509473911768E-3</v>
      </c>
      <c r="AY117" s="13">
        <v>1.2768993267834E-3</v>
      </c>
      <c r="AZ117" s="13">
        <v>1.2229123018873201E-3</v>
      </c>
      <c r="BA117" s="13">
        <v>1.3308069695363201E-3</v>
      </c>
      <c r="BB117" s="13">
        <v>1.1082507334749601E-3</v>
      </c>
      <c r="BC117" s="13">
        <v>1.3273230518114599E-3</v>
      </c>
      <c r="BD117" s="13">
        <v>1.31379928774849E-3</v>
      </c>
      <c r="BE117" s="8">
        <v>5.3481430000000003</v>
      </c>
      <c r="BF117" s="8">
        <v>5.2978139999999998</v>
      </c>
      <c r="BG117" s="8">
        <v>5.3563700000000001</v>
      </c>
      <c r="BH117" s="8">
        <v>5.3065699999999998</v>
      </c>
      <c r="BI117" s="8">
        <v>5.1029010000000001</v>
      </c>
      <c r="BJ117" s="8">
        <v>5.1811619999999996</v>
      </c>
      <c r="BK117" s="8">
        <v>5.2688899999999999</v>
      </c>
      <c r="BL117" s="8">
        <v>5.2808250000000001</v>
      </c>
      <c r="BM117" s="8">
        <v>5.1971999999999996</v>
      </c>
      <c r="BN117" s="8">
        <v>5.1917669999999996</v>
      </c>
      <c r="BO117" s="8">
        <v>5.5382040000000003</v>
      </c>
      <c r="BP117" s="8">
        <v>5.3595899999999999</v>
      </c>
      <c r="BQ117" s="8">
        <v>5.1168430000000003</v>
      </c>
      <c r="BR117" s="8">
        <v>5.3536590000000004</v>
      </c>
      <c r="BS117" s="8">
        <v>5.6409399999999996</v>
      </c>
      <c r="BT117" s="8">
        <v>5.0243200000000003</v>
      </c>
      <c r="BU117" s="8">
        <v>5.3162060000000002</v>
      </c>
    </row>
    <row r="118" spans="1:73" x14ac:dyDescent="0.25">
      <c r="A118" s="9" t="s">
        <v>302</v>
      </c>
      <c r="B118" s="5" t="s">
        <v>303</v>
      </c>
      <c r="C118" s="3">
        <v>0.51551972172843996</v>
      </c>
      <c r="D118" s="3">
        <v>9.8233165127340292E-3</v>
      </c>
      <c r="E118" s="10">
        <v>3.2796802040748431E-3</v>
      </c>
      <c r="F118" s="2">
        <v>3.0096290215947764E-2</v>
      </c>
      <c r="G118" s="2">
        <v>6.8628832752613098</v>
      </c>
      <c r="H118" s="5">
        <v>6.7640682101021703</v>
      </c>
      <c r="I118" s="2">
        <f t="shared" si="1"/>
        <v>9.8815065159139515E-2</v>
      </c>
      <c r="J118">
        <v>1</v>
      </c>
      <c r="K118">
        <v>2</v>
      </c>
      <c r="L118" s="5">
        <v>2.4863201265814702E-2</v>
      </c>
      <c r="M118" s="5">
        <v>3.8011041818364101E-2</v>
      </c>
      <c r="N118" s="6">
        <v>26.308145006351101</v>
      </c>
      <c r="O118" s="3">
        <v>6.82260987491766</v>
      </c>
      <c r="P118" s="3" t="s">
        <v>75</v>
      </c>
      <c r="Q118" s="3">
        <v>0.51551972172843996</v>
      </c>
      <c r="R118" s="3">
        <v>0</v>
      </c>
      <c r="S118" s="3">
        <v>0</v>
      </c>
      <c r="T118" s="3">
        <v>0</v>
      </c>
      <c r="U118">
        <v>0</v>
      </c>
      <c r="V118" s="3">
        <f>G118+U118</f>
        <v>6.8628832752613098</v>
      </c>
      <c r="W118" s="7">
        <v>7.6825000000000001</v>
      </c>
      <c r="X118" s="7">
        <v>7.8310000000000004</v>
      </c>
      <c r="Y118" s="7">
        <v>5.9972500000000002</v>
      </c>
      <c r="Z118" s="7">
        <v>6.9259380000000004</v>
      </c>
      <c r="AA118" s="7">
        <v>4.86625</v>
      </c>
      <c r="AB118" s="7">
        <v>4.96</v>
      </c>
      <c r="AC118" s="7">
        <v>6.514545</v>
      </c>
      <c r="AD118" s="7">
        <v>6.0175000000000001</v>
      </c>
      <c r="AE118" s="7">
        <v>7.1464290000000004</v>
      </c>
      <c r="AF118" s="7">
        <v>7.1109999999999998</v>
      </c>
      <c r="AG118" s="7">
        <v>6.7208699999999997</v>
      </c>
      <c r="AH118" s="7">
        <v>6.9145649999999996</v>
      </c>
      <c r="AI118" s="7">
        <v>6.1946880000000002</v>
      </c>
      <c r="AJ118" s="7">
        <v>8.4879999999999995</v>
      </c>
      <c r="AK118" s="7">
        <v>7.9484620000000001</v>
      </c>
      <c r="AL118" s="7">
        <v>5.8075000000000001</v>
      </c>
      <c r="AM118" s="7">
        <v>6.7839999999999998</v>
      </c>
      <c r="AN118" s="13">
        <v>8.2082711576800405E-3</v>
      </c>
      <c r="AO118" s="13">
        <v>3.3180534477647299E-3</v>
      </c>
      <c r="AP118" s="13">
        <v>3.59393671701148E-3</v>
      </c>
      <c r="AQ118" s="13">
        <v>3.4830084695909799E-3</v>
      </c>
      <c r="AR118" s="13">
        <v>3.3845695756712299E-3</v>
      </c>
      <c r="AS118" s="13">
        <v>3.0713862492000202E-3</v>
      </c>
      <c r="AT118" s="13">
        <v>2.74422506904486E-3</v>
      </c>
      <c r="AU118" s="13">
        <v>2.9981430400226701E-3</v>
      </c>
      <c r="AV118" s="13">
        <v>2.66900035176479E-3</v>
      </c>
      <c r="AW118" s="13">
        <v>2.6292587639075E-3</v>
      </c>
      <c r="AX118" s="13">
        <v>2.61856760202919E-3</v>
      </c>
      <c r="AY118" s="13">
        <v>2.86985006103453E-3</v>
      </c>
      <c r="AZ118" s="13">
        <v>2.7485134267022202E-3</v>
      </c>
      <c r="BA118" s="13">
        <v>2.9910082828298202E-3</v>
      </c>
      <c r="BB118" s="13">
        <v>2.4908098613510999E-3</v>
      </c>
      <c r="BC118" s="13">
        <v>2.9831781263831799E-3</v>
      </c>
      <c r="BD118" s="13">
        <v>2.9527832672839099E-3</v>
      </c>
      <c r="BE118" s="8">
        <v>7.1854500000000003</v>
      </c>
      <c r="BF118" s="8">
        <v>7.2659459999999996</v>
      </c>
      <c r="BG118" s="8">
        <v>7.2035859999999996</v>
      </c>
      <c r="BH118" s="8">
        <v>7.15604</v>
      </c>
      <c r="BI118" s="8">
        <v>7.0831039999999996</v>
      </c>
      <c r="BJ118" s="8">
        <v>6.7409889999999999</v>
      </c>
      <c r="BK118" s="8">
        <v>6.6010119999999999</v>
      </c>
      <c r="BL118" s="8">
        <v>6.5550119999999996</v>
      </c>
      <c r="BM118" s="8">
        <v>6.5686090000000004</v>
      </c>
      <c r="BN118" s="8">
        <v>6.5902159999999999</v>
      </c>
      <c r="BO118" s="8">
        <v>6.6607190000000003</v>
      </c>
      <c r="BP118" s="8">
        <v>6.5441859999999998</v>
      </c>
      <c r="BQ118" s="8">
        <v>6.6639989999999996</v>
      </c>
      <c r="BR118" s="8">
        <v>6.8536000000000001</v>
      </c>
      <c r="BS118" s="8">
        <v>6.8949740000000004</v>
      </c>
      <c r="BT118" s="8">
        <v>6.7468219999999999</v>
      </c>
      <c r="BU118" s="8">
        <v>6.685988</v>
      </c>
    </row>
    <row r="119" spans="1:73" x14ac:dyDescent="0.25">
      <c r="A119" s="9" t="s">
        <v>304</v>
      </c>
      <c r="B119" s="5" t="s">
        <v>305</v>
      </c>
      <c r="C119" s="3">
        <v>0.30511363728724</v>
      </c>
      <c r="D119" s="3">
        <v>1.69449318180354E-2</v>
      </c>
      <c r="E119" s="10">
        <v>2.6276897583939729E-3</v>
      </c>
      <c r="F119" s="2">
        <v>3.9497126515305554E-3</v>
      </c>
      <c r="G119" s="2">
        <v>5.58</v>
      </c>
      <c r="H119" s="5">
        <v>5.7929481641468499</v>
      </c>
      <c r="I119" s="2">
        <f t="shared" si="1"/>
        <v>-0.21294816414684981</v>
      </c>
      <c r="J119">
        <v>3</v>
      </c>
      <c r="K119">
        <v>2</v>
      </c>
      <c r="L119" s="5">
        <v>0.119228000794334</v>
      </c>
      <c r="M119" s="5">
        <v>8.1074890042992107E-2</v>
      </c>
      <c r="N119" s="6">
        <v>12.334275130928001</v>
      </c>
      <c r="O119" s="3">
        <v>6.8975860240613098</v>
      </c>
      <c r="P119" s="3" t="s">
        <v>75</v>
      </c>
      <c r="Q119" s="3">
        <v>0.30511363728724</v>
      </c>
      <c r="R119" s="3">
        <v>0</v>
      </c>
      <c r="S119" s="3">
        <v>0</v>
      </c>
      <c r="T119" s="3">
        <v>0</v>
      </c>
      <c r="U119">
        <v>0</v>
      </c>
      <c r="V119" s="3">
        <f>G119+U119</f>
        <v>5.58</v>
      </c>
      <c r="W119" s="7">
        <v>5.05</v>
      </c>
      <c r="X119" s="7">
        <v>4.8849999999999998</v>
      </c>
      <c r="Y119" s="7">
        <v>5.8449999999999998</v>
      </c>
      <c r="Z119" s="7">
        <v>4.87</v>
      </c>
      <c r="AA119" s="7">
        <v>4.3</v>
      </c>
      <c r="AB119" s="7">
        <v>6.5620000000000003</v>
      </c>
      <c r="AC119" s="7">
        <v>5.8973079999999998</v>
      </c>
      <c r="AD119" s="7">
        <v>4.6835709999999997</v>
      </c>
      <c r="AE119" s="7">
        <v>4.2249999999999996</v>
      </c>
      <c r="AF119" s="7">
        <v>4.8025000000000002</v>
      </c>
      <c r="AG119" s="7">
        <v>5.8335290000000004</v>
      </c>
      <c r="AH119" s="7">
        <v>5.0949999999999998</v>
      </c>
      <c r="AI119" s="7">
        <v>7.19</v>
      </c>
      <c r="AJ119" s="7">
        <v>7.3</v>
      </c>
      <c r="AK119" s="7">
        <v>4.1500000000000004</v>
      </c>
      <c r="AL119" s="7">
        <v>4.67</v>
      </c>
      <c r="AM119" s="7">
        <v>7.1585710000000002</v>
      </c>
      <c r="AN119" s="13">
        <v>6.5764918263549899E-3</v>
      </c>
      <c r="AO119" s="13">
        <v>2.6584345179943101E-3</v>
      </c>
      <c r="AP119" s="13">
        <v>2.87947303272853E-3</v>
      </c>
      <c r="AQ119" s="13">
        <v>2.7905969833803999E-3</v>
      </c>
      <c r="AR119" s="13">
        <v>2.7117274420576901E-3</v>
      </c>
      <c r="AS119" s="13">
        <v>2.4608040079845501E-3</v>
      </c>
      <c r="AT119" s="13">
        <v>2.19868147501025E-3</v>
      </c>
      <c r="AU119" s="13">
        <v>2.4021213259388702E-3</v>
      </c>
      <c r="AV119" s="13">
        <v>2.1384112026436499E-3</v>
      </c>
      <c r="AW119" s="13">
        <v>2.1065701215330001E-3</v>
      </c>
      <c r="AX119" s="13">
        <v>2.0980043301067298E-3</v>
      </c>
      <c r="AY119" s="13">
        <v>2.2993326008241099E-3</v>
      </c>
      <c r="AZ119" s="13">
        <v>2.20211732021326E-3</v>
      </c>
      <c r="BA119" s="13">
        <v>2.39640493676746E-3</v>
      </c>
      <c r="BB119" s="13">
        <v>1.9956444395545199E-3</v>
      </c>
      <c r="BC119" s="13">
        <v>2.3901313915980602E-3</v>
      </c>
      <c r="BD119" s="13">
        <v>2.3657789380070798E-3</v>
      </c>
      <c r="BE119" s="8">
        <v>5.8315789999999996</v>
      </c>
      <c r="BF119" s="8">
        <v>6.1813640000000003</v>
      </c>
      <c r="BG119" s="8">
        <v>5.6850649999999998</v>
      </c>
      <c r="BH119" s="8">
        <v>5.9415630000000004</v>
      </c>
      <c r="BI119" s="8">
        <v>5.5617260000000002</v>
      </c>
      <c r="BJ119" s="8">
        <v>5.5568929999999996</v>
      </c>
      <c r="BK119" s="8">
        <v>5.9056579999999999</v>
      </c>
      <c r="BL119" s="8">
        <v>5.8870469999999999</v>
      </c>
      <c r="BM119" s="8">
        <v>5.663602</v>
      </c>
      <c r="BN119" s="8">
        <v>5.7865000000000002</v>
      </c>
      <c r="BO119" s="8">
        <v>5.7581129999999998</v>
      </c>
      <c r="BP119" s="8">
        <v>5.9378760000000002</v>
      </c>
      <c r="BQ119" s="8">
        <v>5.7830219999999999</v>
      </c>
      <c r="BR119" s="8">
        <v>5.8624999999999998</v>
      </c>
      <c r="BS119" s="8">
        <v>5.7672369999999997</v>
      </c>
      <c r="BT119" s="8">
        <v>5.2403599999999999</v>
      </c>
      <c r="BU119" s="8">
        <v>5.698385</v>
      </c>
    </row>
  </sheetData>
  <autoFilter ref="A1:BU119" xr:uid="{00000000-0001-0000-0800-000000000000}"/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MOO_result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 Bi</dc:creator>
  <cp:lastModifiedBy>Vivi Bi</cp:lastModifiedBy>
  <dcterms:created xsi:type="dcterms:W3CDTF">2026-07-23T13:06:09Z</dcterms:created>
  <dcterms:modified xsi:type="dcterms:W3CDTF">2026-07-27T12:18:36Z</dcterms:modified>
</cp:coreProperties>
</file>